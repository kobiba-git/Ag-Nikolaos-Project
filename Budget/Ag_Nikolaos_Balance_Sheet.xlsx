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3" fillId="8" borderId="1" applyAlignment="1" pivotButton="0" quotePrefix="0" xfId="0">
      <alignment horizontal="center" vertical="center" wrapText="1"/>
    </xf>
    <xf numFmtId="165" fontId="13" fillId="5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1" fillId="3" borderId="0" pivotButton="0" quotePrefix="0" xfId="0"/>
    <xf numFmtId="164" fontId="5" fillId="6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2026-07-21.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Deposits)'!B13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65505</v>
      </c>
      <c r="C7" s="6" t="inlineStr">
        <is>
          <t>Reported 2026-07-21 (see Reconciliation &gt; Rolling Bridge for the residual check)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Ledger'!E152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Ledger'!E153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Ledger'!E152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2026-07-05</t>
        </is>
      </c>
      <c r="B121" s="14" t="inlineStr">
        <is>
          <t>Materials</t>
        </is>
      </c>
      <c r="C121" s="14" t="inlineStr">
        <is>
          <t>Sand and gravel - week Jun29-Jul5</t>
        </is>
      </c>
      <c r="D121" s="14" t="inlineStr">
        <is>
          <t>Supplier</t>
        </is>
      </c>
      <c r="E121" s="15" t="n">
        <v>150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2026-07-10</t>
        </is>
      </c>
    </row>
    <row r="122">
      <c r="A122" s="14" t="inlineStr">
        <is>
          <t>2026-07-05</t>
        </is>
      </c>
      <c r="B122" s="14" t="inlineStr">
        <is>
          <t>Fuel</t>
        </is>
      </c>
      <c r="C122" s="14" t="inlineStr">
        <is>
          <t>Fuel - concrete mixers week Jun29-Jul5</t>
        </is>
      </c>
      <c r="D122" s="14" t="inlineStr">
        <is>
          <t>Gas station</t>
        </is>
      </c>
      <c r="E122" s="15" t="n">
        <v>40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2026-07-10</t>
        </is>
      </c>
    </row>
    <row r="123">
      <c r="A123" s="14" t="inlineStr">
        <is>
          <t>2026-07-05</t>
        </is>
      </c>
      <c r="B123" s="14" t="inlineStr">
        <is>
          <t>Materials</t>
        </is>
      </c>
      <c r="C123" s="14" t="inlineStr">
        <is>
          <t>Steel reinforcement - wall bond beams above door openings</t>
        </is>
      </c>
      <c r="D123" s="14" t="inlineStr">
        <is>
          <t>Supplier</t>
        </is>
      </c>
      <c r="E123" s="15" t="n">
        <v>400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2026-07-10</t>
        </is>
      </c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Kairis - column reinforcement steel, cement, resin anchors</t>
        </is>
      </c>
      <c r="D124" s="14" t="inlineStr">
        <is>
          <t>Kairis</t>
        </is>
      </c>
      <c r="E124" s="15" t="n">
        <v>1800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2026-07-10</t>
        </is>
      </c>
    </row>
    <row r="125">
      <c r="A125" s="14" t="inlineStr">
        <is>
          <t>2026-07-05</t>
        </is>
      </c>
      <c r="B125" s="14" t="inlineStr">
        <is>
          <t>Labour</t>
        </is>
      </c>
      <c r="C125" s="14" t="inlineStr">
        <is>
          <t>Workers wages - week Jun29-Jul5</t>
        </is>
      </c>
      <c r="D125" s="14" t="inlineStr">
        <is>
          <t>Workers</t>
        </is>
      </c>
      <c r="E125" s="15" t="n">
        <v>1910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2026-07-10</t>
        </is>
      </c>
    </row>
    <row r="126">
      <c r="A126" s="14" t="inlineStr">
        <is>
          <t>2026-07-10</t>
        </is>
      </c>
      <c r="B126" s="14" t="inlineStr">
        <is>
          <t>Materials</t>
        </is>
      </c>
      <c r="C126" s="14" t="inlineStr">
        <is>
          <t>Kairis - SikaGrout/reinforcement materials (partial payment toward new balance)</t>
        </is>
      </c>
      <c r="D126" s="14" t="inlineStr">
        <is>
          <t>Kairis</t>
        </is>
      </c>
      <c r="E126" s="15" t="n">
        <v>1700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2026-07-10</t>
        </is>
      </c>
    </row>
    <row r="127">
      <c r="A127" s="14" t="inlineStr">
        <is>
          <t>2026-07-12</t>
        </is>
      </c>
      <c r="B127" s="14" t="inlineStr">
        <is>
          <t>Labour</t>
        </is>
      </c>
      <c r="C127" s="14" t="inlineStr">
        <is>
          <t>Workers wages - week Jul7-12</t>
        </is>
      </c>
      <c r="D127" s="14" t="inlineStr">
        <is>
          <t>Workers</t>
        </is>
      </c>
      <c r="E127" s="15" t="n">
        <v>2150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2026-07-12</t>
        </is>
      </c>
    </row>
    <row r="128">
      <c r="A128" s="14" t="inlineStr">
        <is>
          <t>2026-07-19</t>
        </is>
      </c>
      <c r="B128" s="14" t="inlineStr">
        <is>
          <t>Labour</t>
        </is>
      </c>
      <c r="C128" s="14" t="inlineStr">
        <is>
          <t>Workers wages Mon-Wed - week Jul13-19</t>
        </is>
      </c>
      <c r="D128" s="14" t="inlineStr">
        <is>
          <t>Workers</t>
        </is>
      </c>
      <c r="E128" s="15" t="n">
        <v>900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2026-07-20</t>
        </is>
      </c>
    </row>
    <row r="129">
      <c r="A129" s="14" t="inlineStr">
        <is>
          <t>2026-07-19</t>
        </is>
      </c>
      <c r="B129" s="14" t="inlineStr">
        <is>
          <t>Equipment</t>
        </is>
      </c>
      <c r="C129" s="14" t="inlineStr">
        <is>
          <t>Concrete mixer - week Jul13-19</t>
        </is>
      </c>
      <c r="D129" s="14" t="inlineStr">
        <is>
          <t>Site</t>
        </is>
      </c>
      <c r="E129" s="15" t="n">
        <v>20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2026-07-20</t>
        </is>
      </c>
    </row>
    <row r="130">
      <c r="A130" s="14" t="inlineStr">
        <is>
          <t>2026-07-19</t>
        </is>
      </c>
      <c r="B130" s="14" t="inlineStr">
        <is>
          <t>Materials</t>
        </is>
      </c>
      <c r="C130" s="14" t="inlineStr">
        <is>
          <t>Binding wire and steel-tying materials - week Jul13-19</t>
        </is>
      </c>
      <c r="D130" s="14" t="inlineStr">
        <is>
          <t>Supplier</t>
        </is>
      </c>
      <c r="E130" s="15" t="n">
        <v>65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2026-07-20</t>
        </is>
      </c>
    </row>
    <row r="131">
      <c r="A131" s="14" t="inlineStr">
        <is>
          <t>2026-06-28</t>
        </is>
      </c>
      <c r="B131" s="14" t="inlineStr">
        <is>
          <t>Materials</t>
        </is>
      </c>
      <c r="C131" s="14" t="inlineStr">
        <is>
          <t>Materials - week Jun25-28 (Yael unit completion)</t>
        </is>
      </c>
      <c r="D131" s="14" t="inlineStr">
        <is>
          <t>Kairis</t>
        </is>
      </c>
      <c r="E131" s="15" t="n">
        <v>1500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2026-06-29</t>
        </is>
      </c>
    </row>
    <row r="132">
      <c r="A132" s="14" t="inlineStr">
        <is>
          <t>2026-06-28</t>
        </is>
      </c>
      <c r="B132" s="14" t="inlineStr">
        <is>
          <t>Plumbing</t>
        </is>
      </c>
      <c r="C132" s="14" t="inlineStr">
        <is>
          <t>Plumber - Yael unit completion</t>
        </is>
      </c>
      <c r="D132" s="14" t="inlineStr">
        <is>
          <t>Plumber</t>
        </is>
      </c>
      <c r="E132" s="15" t="n">
        <v>200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2026-06-29</t>
        </is>
      </c>
    </row>
    <row r="133">
      <c r="A133" s="14" t="inlineStr">
        <is>
          <t>2026-06-28</t>
        </is>
      </c>
      <c r="B133" s="14" t="inlineStr">
        <is>
          <t>Labour</t>
        </is>
      </c>
      <c r="C133" s="14" t="inlineStr">
        <is>
          <t>Carpenter - Yael unit (bedside tables/countertop/door)</t>
        </is>
      </c>
      <c r="D133" s="14" t="inlineStr">
        <is>
          <t>Carpenter</t>
        </is>
      </c>
      <c r="E133" s="15" t="n">
        <v>250</v>
      </c>
      <c r="F133" s="16" t="inlineStr">
        <is>
          <t>cash</t>
        </is>
      </c>
      <c r="G133" s="16" t="inlineStr">
        <is>
          <t>Yes</t>
        </is>
      </c>
      <c r="H133" s="17" t="inlineStr">
        <is>
          <t>Paid</t>
        </is>
      </c>
      <c r="I133" s="14" t="inlineStr">
        <is>
          <t>2026-06-29</t>
        </is>
      </c>
    </row>
    <row r="134">
      <c r="A134" s="14" t="inlineStr">
        <is>
          <t>2026-06-28</t>
        </is>
      </c>
      <c r="B134" s="14" t="inlineStr">
        <is>
          <t>Materials</t>
        </is>
      </c>
      <c r="C134" s="14" t="inlineStr">
        <is>
          <t>Marble for shower - Yael unit</t>
        </is>
      </c>
      <c r="D134" s="14" t="inlineStr">
        <is>
          <t>Supplier</t>
        </is>
      </c>
      <c r="E134" s="15" t="n">
        <v>50</v>
      </c>
      <c r="F134" s="16" t="inlineStr">
        <is>
          <t>cash</t>
        </is>
      </c>
      <c r="G134" s="16" t="inlineStr">
        <is>
          <t>Yes</t>
        </is>
      </c>
      <c r="H134" s="17" t="inlineStr">
        <is>
          <t>Paid</t>
        </is>
      </c>
      <c r="I134" s="14" t="inlineStr">
        <is>
          <t>2026-06-29</t>
        </is>
      </c>
    </row>
    <row r="135">
      <c r="A135" s="14" t="inlineStr">
        <is>
          <t>2026-06-28</t>
        </is>
      </c>
      <c r="B135" s="14" t="inlineStr">
        <is>
          <t>Fuel</t>
        </is>
      </c>
      <c r="C135" s="14" t="inlineStr">
        <is>
          <t>Site fuel week Jun25-28</t>
        </is>
      </c>
      <c r="D135" s="14" t="inlineStr">
        <is>
          <t>Vicky</t>
        </is>
      </c>
      <c r="E135" s="15" t="n">
        <v>40</v>
      </c>
      <c r="F135" s="16" t="inlineStr">
        <is>
          <t>cash</t>
        </is>
      </c>
      <c r="G135" s="16" t="inlineStr">
        <is>
          <t>Yes</t>
        </is>
      </c>
      <c r="H135" s="17" t="inlineStr">
        <is>
          <t>Paid</t>
        </is>
      </c>
      <c r="I135" s="14" t="inlineStr">
        <is>
          <t>2026-06-29</t>
        </is>
      </c>
    </row>
    <row r="136">
      <c r="A136" s="14" t="inlineStr">
        <is>
          <t>2026-06-28</t>
        </is>
      </c>
      <c r="B136" s="14" t="inlineStr">
        <is>
          <t>Labour</t>
        </is>
      </c>
      <c r="C136" s="14" t="inlineStr">
        <is>
          <t>Workers week Jun25-28 (Yael unit + site)</t>
        </is>
      </c>
      <c r="D136" s="14" t="inlineStr">
        <is>
          <t>Workers</t>
        </is>
      </c>
      <c r="E136" s="15" t="n">
        <v>2600</v>
      </c>
      <c r="F136" s="16" t="inlineStr">
        <is>
          <t>cash</t>
        </is>
      </c>
      <c r="G136" s="16" t="inlineStr">
        <is>
          <t>Yes</t>
        </is>
      </c>
      <c r="H136" s="17" t="inlineStr">
        <is>
          <t>Paid</t>
        </is>
      </c>
      <c r="I136" s="14" t="inlineStr">
        <is>
          <t>2026-06-29</t>
        </is>
      </c>
    </row>
    <row r="137">
      <c r="A137" s="14" t="inlineStr">
        <is>
          <t>2026-05-23</t>
        </is>
      </c>
      <c r="B137" s="14" t="inlineStr">
        <is>
          <t>Electrical</t>
        </is>
      </c>
      <c r="C137" s="14" t="inlineStr">
        <is>
          <t>Electrician - 2 apts+2 storages+outdoor</t>
        </is>
      </c>
      <c r="D137" s="14" t="inlineStr">
        <is>
          <t>Electrician</t>
        </is>
      </c>
      <c r="E137" s="15" t="n">
        <v>9500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2026-05-23</t>
        </is>
      </c>
      <c r="B138" s="14" t="inlineStr">
        <is>
          <t>Electrical</t>
        </is>
      </c>
      <c r="C138" s="14" t="inlineStr">
        <is>
          <t>Electrical plans - submitted to authority</t>
        </is>
      </c>
      <c r="D138" s="14" t="inlineStr">
        <is>
          <t>Electrician</t>
        </is>
      </c>
      <c r="E138" s="15" t="n">
        <v>1000</v>
      </c>
      <c r="F138" s="16" t="inlineStr">
        <is>
          <t>-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2026-05-23</t>
        </is>
      </c>
      <c r="B139" s="14" t="inlineStr">
        <is>
          <t>Electrical</t>
        </is>
      </c>
      <c r="C139" s="14" t="inlineStr">
        <is>
          <t>Three-phase meter (Kobi's name)</t>
        </is>
      </c>
      <c r="D139" s="14" t="inlineStr">
        <is>
          <t>Electrician</t>
        </is>
      </c>
      <c r="E139" s="15" t="n">
        <v>750</v>
      </c>
      <c r="F139" s="16" t="inlineStr">
        <is>
          <t>-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A140" s="14" t="inlineStr">
        <is>
          <t>2026-05-23</t>
        </is>
      </c>
      <c r="B140" s="14" t="inlineStr">
        <is>
          <t>Electrical</t>
        </is>
      </c>
      <c r="C140" s="14" t="inlineStr">
        <is>
          <t>Electrician advance - 130m piping reimb.</t>
        </is>
      </c>
      <c r="D140" s="14" t="inlineStr">
        <is>
          <t>Electrician</t>
        </is>
      </c>
      <c r="E140" s="15" t="n">
        <v>1000</v>
      </c>
      <c r="F140" s="16" t="inlineStr">
        <is>
          <t>cash</t>
        </is>
      </c>
      <c r="G140" s="16" t="inlineStr">
        <is>
          <t>Yes</t>
        </is>
      </c>
      <c r="H140" s="18" t="inlineStr">
        <is>
          <t>Committed</t>
        </is>
      </c>
      <c r="I140" s="14" t="inlineStr"/>
    </row>
    <row r="141">
      <c r="A141" s="14" t="inlineStr">
        <is>
          <t>2026-05-23</t>
        </is>
      </c>
      <c r="B141" s="14" t="inlineStr">
        <is>
          <t>Windows/Iron</t>
        </is>
      </c>
      <c r="C141" s="14" t="inlineStr">
        <is>
          <t>Metalworker - small storage door+window</t>
        </is>
      </c>
      <c r="D141" s="14" t="inlineStr">
        <is>
          <t>Metalworker</t>
        </is>
      </c>
      <c r="E141" s="15" t="n">
        <v>550</v>
      </c>
      <c r="F141" s="16" t="inlineStr">
        <is>
          <t>cash</t>
        </is>
      </c>
      <c r="G141" s="16" t="inlineStr">
        <is>
          <t>Yes</t>
        </is>
      </c>
      <c r="H141" s="18" t="inlineStr">
        <is>
          <t>Committed</t>
        </is>
      </c>
      <c r="I141" s="14" t="inlineStr"/>
    </row>
    <row r="142">
      <c r="A142" s="14" t="inlineStr">
        <is>
          <t>2026-06-15</t>
        </is>
      </c>
      <c r="B142" s="14" t="inlineStr">
        <is>
          <t>Site Works</t>
        </is>
      </c>
      <c r="C142" s="14" t="inlineStr">
        <is>
          <t>Excavator - road compaction (60t roller)</t>
        </is>
      </c>
      <c r="D142" s="14" t="inlineStr">
        <is>
          <t>Excavator</t>
        </is>
      </c>
      <c r="E142" s="15" t="n">
        <v>600</v>
      </c>
      <c r="F142" s="16" t="inlineStr">
        <is>
          <t>cash</t>
        </is>
      </c>
      <c r="G142" s="16" t="inlineStr">
        <is>
          <t>Yes</t>
        </is>
      </c>
      <c r="H142" s="18" t="inlineStr">
        <is>
          <t>Committed</t>
        </is>
      </c>
      <c r="I142" s="14" t="inlineStr"/>
    </row>
    <row r="143">
      <c r="A143" s="14" t="inlineStr">
        <is>
          <t>2026-07-20</t>
        </is>
      </c>
      <c r="B143" s="14" t="inlineStr">
        <is>
          <t>Legal/Admin</t>
        </is>
      </c>
      <c r="C143" s="14" t="inlineStr">
        <is>
          <t>Worker insurance Apr-Jun - partial payment</t>
        </is>
      </c>
      <c r="D143" s="14" t="inlineStr">
        <is>
          <t>EFKA</t>
        </is>
      </c>
      <c r="E143" s="15" t="n">
        <v>1865</v>
      </c>
      <c r="F143" s="16" t="inlineStr">
        <is>
          <t>cash</t>
        </is>
      </c>
      <c r="G143" s="16" t="inlineStr">
        <is>
          <t>Yes</t>
        </is>
      </c>
      <c r="H143" s="17" t="inlineStr">
        <is>
          <t>Paid</t>
        </is>
      </c>
      <c r="I143" s="14" t="inlineStr">
        <is>
          <t>2026-07-20</t>
        </is>
      </c>
    </row>
    <row r="144">
      <c r="A144" s="14" t="inlineStr">
        <is>
          <t>2026-07-21</t>
        </is>
      </c>
      <c r="B144" s="14" t="inlineStr">
        <is>
          <t>Legal/Admin</t>
        </is>
      </c>
      <c r="C144" s="14" t="inlineStr">
        <is>
          <t>Worker insurance Apr-Jun - second partial payment</t>
        </is>
      </c>
      <c r="D144" s="14" t="inlineStr">
        <is>
          <t>EFKA</t>
        </is>
      </c>
      <c r="E144" s="15" t="n">
        <v>1990</v>
      </c>
      <c r="F144" s="16" t="inlineStr">
        <is>
          <t>cash</t>
        </is>
      </c>
      <c r="G144" s="16" t="inlineStr">
        <is>
          <t>Yes</t>
        </is>
      </c>
      <c r="H144" s="17" t="inlineStr">
        <is>
          <t>Paid</t>
        </is>
      </c>
      <c r="I144" s="14" t="inlineStr">
        <is>
          <t>2026-07-21</t>
        </is>
      </c>
    </row>
    <row r="145">
      <c r="A145" s="14" t="inlineStr">
        <is>
          <t>2026-06-25</t>
        </is>
      </c>
      <c r="B145" s="14" t="inlineStr">
        <is>
          <t>Legal/Admin</t>
        </is>
      </c>
      <c r="C145" s="14" t="inlineStr">
        <is>
          <t>Worker insurance Apr-Jun - remaining balance</t>
        </is>
      </c>
      <c r="D145" s="14" t="inlineStr">
        <is>
          <t>EFKA</t>
        </is>
      </c>
      <c r="E145" s="15" t="n">
        <v>3</v>
      </c>
      <c r="F145" s="16" t="inlineStr">
        <is>
          <t>-</t>
        </is>
      </c>
      <c r="G145" s="16" t="inlineStr">
        <is>
          <t>Yes</t>
        </is>
      </c>
      <c r="H145" s="18" t="inlineStr">
        <is>
          <t>Committed</t>
        </is>
      </c>
      <c r="I145" s="14" t="inlineStr"/>
    </row>
    <row r="146">
      <c r="A146" s="14" t="inlineStr">
        <is>
          <t>2026-07-19</t>
        </is>
      </c>
      <c r="B146" s="14" t="inlineStr">
        <is>
          <t>Materials</t>
        </is>
      </c>
      <c r="C146" s="14" t="inlineStr">
        <is>
          <t>Kairis - partial payment (ATM shortfall from last week)</t>
        </is>
      </c>
      <c r="D146" s="14" t="inlineStr">
        <is>
          <t>Kairis</t>
        </is>
      </c>
      <c r="E146" s="15" t="n">
        <v>150</v>
      </c>
      <c r="F146" s="16" t="inlineStr">
        <is>
          <t>cash</t>
        </is>
      </c>
      <c r="G146" s="16" t="inlineStr">
        <is>
          <t>Yes</t>
        </is>
      </c>
      <c r="H146" s="17" t="inlineStr">
        <is>
          <t>Paid</t>
        </is>
      </c>
      <c r="I146" s="14" t="inlineStr">
        <is>
          <t>2026-07-20</t>
        </is>
      </c>
    </row>
    <row r="147">
      <c r="A147" s="14" t="inlineStr">
        <is>
          <t>2026-06-24</t>
        </is>
      </c>
      <c r="B147" s="14" t="inlineStr">
        <is>
          <t>Materials</t>
        </is>
      </c>
      <c r="C147" s="14" t="inlineStr">
        <is>
          <t>Kairis - remaining balance</t>
        </is>
      </c>
      <c r="D147" s="14" t="inlineStr">
        <is>
          <t>Kairis</t>
        </is>
      </c>
      <c r="E147" s="15" t="n">
        <v>45</v>
      </c>
      <c r="F147" s="16" t="inlineStr">
        <is>
          <t>cash</t>
        </is>
      </c>
      <c r="G147" s="16" t="inlineStr">
        <is>
          <t>Yes</t>
        </is>
      </c>
      <c r="H147" s="18" t="inlineStr">
        <is>
          <t>Committed</t>
        </is>
      </c>
      <c r="I147" s="14" t="inlineStr"/>
    </row>
    <row r="148">
      <c r="A148" s="14" t="inlineStr">
        <is>
          <t>2026-07-11</t>
        </is>
      </c>
      <c r="B148" s="14" t="inlineStr">
        <is>
          <t>Materials</t>
        </is>
      </c>
      <c r="C148" s="14" t="inlineStr">
        <is>
          <t>Kairis - next SikaGrout order (200 bags) + 20 steel bars - approved by Yael, not yet placed</t>
        </is>
      </c>
      <c r="D148" s="14" t="inlineStr">
        <is>
          <t>Kairis</t>
        </is>
      </c>
      <c r="E148" s="15" t="n">
        <v>7740</v>
      </c>
      <c r="F148" s="16" t="inlineStr">
        <is>
          <t>cash</t>
        </is>
      </c>
      <c r="G148" s="16" t="inlineStr">
        <is>
          <t>Yes</t>
        </is>
      </c>
      <c r="H148" s="18" t="inlineStr">
        <is>
          <t>Committed</t>
        </is>
      </c>
      <c r="I148" s="14" t="inlineStr"/>
    </row>
    <row r="149">
      <c r="A149" s="14" t="inlineStr">
        <is>
          <t>2026-07-21</t>
        </is>
      </c>
      <c r="B149" s="14" t="inlineStr">
        <is>
          <t>Materials</t>
        </is>
      </c>
      <c r="C149" s="14" t="inlineStr">
        <is>
          <t>Kairis - partial payment toward column/beam debt</t>
        </is>
      </c>
      <c r="D149" s="14" t="inlineStr">
        <is>
          <t>Kairis</t>
        </is>
      </c>
      <c r="E149" s="15" t="n">
        <v>1000</v>
      </c>
      <c r="F149" s="16" t="inlineStr">
        <is>
          <t>cash</t>
        </is>
      </c>
      <c r="G149" s="16" t="inlineStr">
        <is>
          <t>Yes</t>
        </is>
      </c>
      <c r="H149" s="17" t="inlineStr">
        <is>
          <t>Paid</t>
        </is>
      </c>
      <c r="I149" s="14" t="inlineStr">
        <is>
          <t>2026-07-21</t>
        </is>
      </c>
    </row>
    <row r="150">
      <c r="A150" s="14" t="inlineStr">
        <is>
          <t>2026-07-11</t>
        </is>
      </c>
      <c r="B150" s="14" t="inlineStr">
        <is>
          <t>Materials</t>
        </is>
      </c>
      <c r="C150" s="14" t="inlineStr">
        <is>
          <t>Kairis - outstanding debt for column/beam materials received this week (EUR3,420+EUR3,530=EUR6,940, minus EUR1,700 already paid Jul10, minus EUR1,000 paid Jul21)</t>
        </is>
      </c>
      <c r="D150" s="14" t="inlineStr">
        <is>
          <t>Kairis</t>
        </is>
      </c>
      <c r="E150" s="15" t="n">
        <v>4240</v>
      </c>
      <c r="F150" s="16" t="inlineStr">
        <is>
          <t>cash</t>
        </is>
      </c>
      <c r="G150" s="16" t="inlineStr">
        <is>
          <t>Yes</t>
        </is>
      </c>
      <c r="H150" s="18" t="inlineStr">
        <is>
          <t>Committed</t>
        </is>
      </c>
      <c r="I150" s="14" t="inlineStr"/>
    </row>
    <row r="151">
      <c r="A151" s="14" t="inlineStr">
        <is>
          <t>2026-07-11</t>
        </is>
      </c>
      <c r="B151" s="14" t="inlineStr">
        <is>
          <t>Materials</t>
        </is>
      </c>
      <c r="C151" s="14" t="inlineStr">
        <is>
          <t>Kairis - additional item per Vicky Jul11 running-total correction (detail unspecified, confirms total EUR13,730)</t>
        </is>
      </c>
      <c r="D151" s="14" t="inlineStr">
        <is>
          <t>Kairis</t>
        </is>
      </c>
      <c r="E151" s="15" t="n">
        <v>750</v>
      </c>
      <c r="F151" s="16" t="inlineStr">
        <is>
          <t>cash</t>
        </is>
      </c>
      <c r="G151" s="16" t="inlineStr">
        <is>
          <t>Yes</t>
        </is>
      </c>
      <c r="H151" s="18" t="inlineStr">
        <is>
          <t>Committed</t>
        </is>
      </c>
      <c r="I151" s="14" t="inlineStr"/>
    </row>
    <row r="152">
      <c r="D152" s="19" t="inlineStr">
        <is>
          <t>PAID — total</t>
        </is>
      </c>
      <c r="E152" s="20">
        <f>SUMIF(H5:H151,"Paid",E5:E151)</f>
        <v/>
      </c>
    </row>
    <row r="153">
      <c r="D153" s="19" t="inlineStr">
        <is>
          <t>COMMITTED (approved, unpaid)</t>
        </is>
      </c>
      <c r="E153" s="21">
        <f>SUMIF(H5:H151,"Committed",E5:E151)</f>
        <v/>
      </c>
    </row>
    <row r="154">
      <c r="D154" s="22" t="inlineStr">
        <is>
          <t>PAID — from NBG (cash/transfer)</t>
        </is>
      </c>
      <c r="E154" s="23">
        <f>SUMIFS(E5:E151,H5:H151,"Paid",G5:G151,"Yes")</f>
        <v/>
      </c>
    </row>
    <row r="155">
      <c r="D155" s="22" t="inlineStr">
        <is>
          <t>PAID — outside NBG (Wise/card)</t>
        </is>
      </c>
      <c r="E155" s="23">
        <f>SUMIFS(E5:E151,H5:H151,"Paid",G5:G151,"No")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16" t="inlineStr">
        <is>
          <t>2026-07-13</t>
        </is>
      </c>
      <c r="B12" s="24" t="n">
        <v>50000</v>
      </c>
      <c r="C12" s="14" t="inlineStr">
        <is>
          <t>wire-Jul13</t>
        </is>
      </c>
      <c r="D12" s="14" t="inlineStr">
        <is>
          <t>Kobi confirmed - Israel to NBG transfer (Mizrahi)</t>
        </is>
      </c>
      <c r="E12" s="17" t="inlineStr">
        <is>
          <t>Yes</t>
        </is>
      </c>
    </row>
    <row r="13">
      <c r="A13" s="25" t="inlineStr">
        <is>
          <t>TOTAL DEPOSITS (counted)</t>
        </is>
      </c>
      <c r="B13" s="26">
        <f>SUMIF(E5:E12,"Yes",B5:B12)</f>
        <v/>
      </c>
    </row>
    <row r="15">
      <c r="A15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6">
      <c r="A16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Ledger'!E5:E151,'Renovation Ledger'!B5:B151,A5,'Renovation Ledger'!H5:H151,"Paid")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Ledger'!E5:E151,'Renovation Ledger'!B5:B151,A6,'Renovation Ledger'!H5:H151,"Paid")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Ledger'!E5:E151,'Renovation Ledger'!B5:B151,A7,'Renovation Ledger'!H5:H151,"Paid")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Ledger'!E5:E151,'Renovation Ledger'!B5:B151,A8,'Renovation Ledger'!H5:H151,"Paid")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Ledger'!E5:E151,'Renovation Ledger'!B5:B151,A9,'Renovation Ledger'!H5:H151,"Paid")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Ledger'!E5:E151,'Renovation Ledger'!B5:B151,A10,'Renovation Ledger'!H5:H151,"Paid")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Ledger'!E5:E151,'Renovation Ledger'!B5:B151,A11,'Renovation Ledger'!H5:H151,"Paid")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Ledger'!E5:E151,'Renovation Ledger'!B5:B151,A12,'Renovation Ledger'!H5:H151,"Paid")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Ledger'!E5:E151,'Renovation Ledger'!B5:B151,A13,'Renovation Ledger'!H5:H151,"Paid")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Ledger'!E5:E151,'Renovation Ledger'!B5:B151,A14,'Renovation Ledger'!H5:H151,"Paid")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Ledger'!E5:E151,'Renovation Ledger'!B5:B151,A15,'Renovation Ledger'!H5:H151,"Paid")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Ledger'!E5:E151,'Renovation Ledger'!B5:B151,A16,'Renovation Ledger'!H5:H151,"Paid")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Ledger'!E5:E151,'Renovation Ledger'!B5:B151,A17,'Renovation Ledger'!H5:H151,"Paid")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Ledger'!E5:E151,'Renovation Ledger'!B5:B151,A18,'Renovation Ledger'!H5:H151,"Paid")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Ledger'!E5:E151,'Renovation Ledger'!B5:B151,A19,'Renovation Ledger'!H5:H151,"Paid")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Ledger'!E154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Ledger'!E154-69935.92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  <row r="26">
      <c r="B26" s="45" t="inlineStr">
        <is>
          <t>ROLLING BRIDGE — since last full statement (2026-06-25)</t>
        </is>
      </c>
    </row>
    <row r="27">
      <c r="B27" s="40" t="inlineStr">
        <is>
          <t>Opening — statement closing balance (2026-06-25)</t>
        </is>
      </c>
      <c r="C27" s="41" t="n">
        <v>35202.94</v>
      </c>
    </row>
    <row r="28">
      <c r="B28" s="40" t="inlineStr">
        <is>
          <t>+ Deposits since (dynamic — recalculates as new transfers are added)</t>
        </is>
      </c>
      <c r="C28" s="41">
        <f>SUMPRODUCT(('Funding (NBG Deposits)'!A5:A12&gt;"2026-06-25")*('Funding (NBG Deposits)'!E5:E12="Yes")*'Funding (NBG Deposits)'!B5:B12)</f>
        <v/>
      </c>
    </row>
    <row r="29">
      <c r="B29" s="40" t="inlineStr">
        <is>
          <t>- Renovation paid from NBG since (dynamic — recalculates as new expenses are added)</t>
        </is>
      </c>
      <c r="C29" s="41">
        <f>SUMPRODUCT(('Renovation Ledger'!I5:I151&gt;"2026-06-25")*('Renovation Ledger'!H5:H151="Paid")*('Renovation Ledger'!G5:G151="Yes")*'Renovation Ledger'!E5:E151)</f>
        <v/>
      </c>
    </row>
    <row r="30">
      <c r="B30" s="29" t="inlineStr">
        <is>
          <t>Computed balance (bridge)</t>
        </is>
      </c>
      <c r="C30" s="46">
        <f>C27+C28-C29</f>
        <v/>
      </c>
    </row>
    <row r="31">
      <c r="B31" s="29" t="inlineStr">
        <is>
          <t>Reported balance (2026-07-21)</t>
        </is>
      </c>
      <c r="C31" s="47" t="n">
        <v>65505</v>
      </c>
    </row>
    <row r="32">
      <c r="B32" s="38" t="inlineStr">
        <is>
          <t>Residual (bridge − reported)</t>
        </is>
      </c>
      <c r="C32" s="48">
        <f>C30-C31</f>
        <v/>
      </c>
    </row>
    <row r="33">
      <c r="B33" s="27" t="inlineStr">
        <is>
          <t>A residual here is expected cash-float/timing (ATM withdrawals vs itemized weekly reconstructions), or spending not yet reported to Kobi -- see Flags &amp; Dedup. It is NOT unexplained/missing money unless it grows unexpectedly large or keeps widening.</t>
        </is>
      </c>
    </row>
  </sheetData>
  <mergeCells count="6">
    <mergeCell ref="B33:D33"/>
    <mergeCell ref="A1:D1"/>
    <mergeCell ref="B23:D23"/>
    <mergeCell ref="B26:D26"/>
    <mergeCell ref="A2:D2"/>
    <mergeCell ref="B24:D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  <row r="15">
      <c r="A15" s="16" t="inlineStr">
        <is>
          <t>11</t>
        </is>
      </c>
      <c r="B15" s="14" t="inlineStr">
        <is>
          <t>EUR907.92 residual — rolling bridge (25-Jun to 11-Jul)</t>
        </is>
      </c>
      <c r="C15" s="14" t="inlineStr">
        <is>
          <t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      </is>
      </c>
      <c r="D15" s="18" t="inlineStr">
        <is>
          <t>OPEN</t>
        </is>
      </c>
      <c r="E15" s="14" t="inlineStr">
        <is>
          <t>Ask Vicky to confirm — either an ATM withdrawal that ran ahead of itemized expenses, or a payment not yet reported in the WhatsApp group.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2026-07-21T08:24:33Z</dcterms:created>
  <dcterms:modified xmlns:dcterms="http://purl.org/dc/terms/" xmlns:xsi="http://www.w3.org/2001/XMLSchema-instance" xsi:type="dcterms:W3CDTF">2026-07-21T08:24:33Z</dcterms:modified>
</cp:coreProperties>
</file>