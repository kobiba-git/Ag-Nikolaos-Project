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1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2" fillId="7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25 Jun 2026.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Deposits)'!B12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35202.94</v>
      </c>
      <c r="C7" s="6" t="inlineStr">
        <is>
          <t>Per official NBG statement, 25-Jun-2026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Ledger'!E141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Ledger'!E142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Ledger'!E141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2026-07-06</t>
        </is>
      </c>
      <c r="B121" s="14" t="inlineStr">
        <is>
          <t>Other</t>
        </is>
      </c>
      <c r="C121" s="14" t="inlineStr">
        <is>
          <t>Cash withdrawal - partial funding for week Jun29-Jul5 batch (item-level allocation TBC)</t>
        </is>
      </c>
      <c r="D121" s="14" t="inlineStr">
        <is>
          <t>Vicky (cash withdrawal)</t>
        </is>
      </c>
      <c r="E121" s="15" t="n">
        <v>3000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2026-07-06</t>
        </is>
      </c>
    </row>
    <row r="122">
      <c r="A122" s="14" t="inlineStr">
        <is>
          <t>2026-07-05</t>
        </is>
      </c>
      <c r="B122" s="14" t="inlineStr">
        <is>
          <t>Materials</t>
        </is>
      </c>
      <c r="C122" s="14" t="inlineStr">
        <is>
          <t>Sand and gravel - week Jun29-Jul5</t>
        </is>
      </c>
      <c r="D122" s="14" t="inlineStr">
        <is>
          <t>Supplier</t>
        </is>
      </c>
      <c r="E122" s="15" t="n">
        <v>150</v>
      </c>
      <c r="F122" s="16" t="inlineStr">
        <is>
          <t>cash</t>
        </is>
      </c>
      <c r="G122" s="16" t="inlineStr">
        <is>
          <t>Yes</t>
        </is>
      </c>
      <c r="H122" s="18" t="inlineStr">
        <is>
          <t>Committed</t>
        </is>
      </c>
      <c r="I122" s="14" t="inlineStr"/>
    </row>
    <row r="123">
      <c r="A123" s="14" t="inlineStr">
        <is>
          <t>2026-07-05</t>
        </is>
      </c>
      <c r="B123" s="14" t="inlineStr">
        <is>
          <t>Fuel</t>
        </is>
      </c>
      <c r="C123" s="14" t="inlineStr">
        <is>
          <t>Fuel - concrete mixers week Jun29-Jul5</t>
        </is>
      </c>
      <c r="D123" s="14" t="inlineStr">
        <is>
          <t>Gas station</t>
        </is>
      </c>
      <c r="E123" s="15" t="n">
        <v>40</v>
      </c>
      <c r="F123" s="16" t="inlineStr">
        <is>
          <t>cash</t>
        </is>
      </c>
      <c r="G123" s="16" t="inlineStr">
        <is>
          <t>Yes</t>
        </is>
      </c>
      <c r="H123" s="18" t="inlineStr">
        <is>
          <t>Committed</t>
        </is>
      </c>
      <c r="I123" s="14" t="inlineStr"/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Steel reinforcement - wall bond beams above door openings</t>
        </is>
      </c>
      <c r="D124" s="14" t="inlineStr">
        <is>
          <t>Supplier</t>
        </is>
      </c>
      <c r="E124" s="15" t="n">
        <v>400</v>
      </c>
      <c r="F124" s="16" t="inlineStr">
        <is>
          <t>cash</t>
        </is>
      </c>
      <c r="G124" s="16" t="inlineStr">
        <is>
          <t>Yes</t>
        </is>
      </c>
      <c r="H124" s="18" t="inlineStr">
        <is>
          <t>Committed</t>
        </is>
      </c>
      <c r="I124" s="14" t="inlineStr"/>
    </row>
    <row r="125">
      <c r="A125" s="14" t="inlineStr">
        <is>
          <t>2026-07-05</t>
        </is>
      </c>
      <c r="B125" s="14" t="inlineStr">
        <is>
          <t>Materials</t>
        </is>
      </c>
      <c r="C125" s="14" t="inlineStr">
        <is>
          <t>Kairis - column reinforcement steel, cement, resin anchors</t>
        </is>
      </c>
      <c r="D125" s="14" t="inlineStr">
        <is>
          <t>Kairis</t>
        </is>
      </c>
      <c r="E125" s="15" t="n">
        <v>1800</v>
      </c>
      <c r="F125" s="16" t="inlineStr">
        <is>
          <t>cash</t>
        </is>
      </c>
      <c r="G125" s="16" t="inlineStr">
        <is>
          <t>Yes</t>
        </is>
      </c>
      <c r="H125" s="18" t="inlineStr">
        <is>
          <t>Committed</t>
        </is>
      </c>
      <c r="I125" s="14" t="inlineStr"/>
    </row>
    <row r="126">
      <c r="A126" s="14" t="inlineStr">
        <is>
          <t>2026-07-05</t>
        </is>
      </c>
      <c r="B126" s="14" t="inlineStr">
        <is>
          <t>Labour</t>
        </is>
      </c>
      <c r="C126" s="14" t="inlineStr">
        <is>
          <t>Workers wages - week Jun29-Jul5</t>
        </is>
      </c>
      <c r="D126" s="14" t="inlineStr">
        <is>
          <t>Workers</t>
        </is>
      </c>
      <c r="E126" s="15" t="n">
        <v>1910</v>
      </c>
      <c r="F126" s="16" t="inlineStr">
        <is>
          <t>cash</t>
        </is>
      </c>
      <c r="G126" s="16" t="inlineStr">
        <is>
          <t>Yes</t>
        </is>
      </c>
      <c r="H126" s="18" t="inlineStr">
        <is>
          <t>Committed</t>
        </is>
      </c>
      <c r="I126" s="14" t="inlineStr"/>
    </row>
    <row r="127">
      <c r="A127" s="14" t="inlineStr">
        <is>
          <t>2026-06-28</t>
        </is>
      </c>
      <c r="B127" s="14" t="inlineStr">
        <is>
          <t>Materials</t>
        </is>
      </c>
      <c r="C127" s="14" t="inlineStr">
        <is>
          <t>Materials - week Jun25-28 (Yael unit completion)</t>
        </is>
      </c>
      <c r="D127" s="14" t="inlineStr">
        <is>
          <t>Kairis</t>
        </is>
      </c>
      <c r="E127" s="15" t="n">
        <v>1500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2026-06-29</t>
        </is>
      </c>
    </row>
    <row r="128">
      <c r="A128" s="14" t="inlineStr">
        <is>
          <t>2026-06-28</t>
        </is>
      </c>
      <c r="B128" s="14" t="inlineStr">
        <is>
          <t>Plumbing</t>
        </is>
      </c>
      <c r="C128" s="14" t="inlineStr">
        <is>
          <t>Plumber - Yael unit completion</t>
        </is>
      </c>
      <c r="D128" s="14" t="inlineStr">
        <is>
          <t>Plumber</t>
        </is>
      </c>
      <c r="E128" s="15" t="n">
        <v>200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2026-06-29</t>
        </is>
      </c>
    </row>
    <row r="129">
      <c r="A129" s="14" t="inlineStr">
        <is>
          <t>2026-06-28</t>
        </is>
      </c>
      <c r="B129" s="14" t="inlineStr">
        <is>
          <t>Labour</t>
        </is>
      </c>
      <c r="C129" s="14" t="inlineStr">
        <is>
          <t>Carpenter - Yael unit (bedside tables/countertop/door)</t>
        </is>
      </c>
      <c r="D129" s="14" t="inlineStr">
        <is>
          <t>Carpenter</t>
        </is>
      </c>
      <c r="E129" s="15" t="n">
        <v>250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2026-06-29</t>
        </is>
      </c>
    </row>
    <row r="130">
      <c r="A130" s="14" t="inlineStr">
        <is>
          <t>2026-06-28</t>
        </is>
      </c>
      <c r="B130" s="14" t="inlineStr">
        <is>
          <t>Materials</t>
        </is>
      </c>
      <c r="C130" s="14" t="inlineStr">
        <is>
          <t>Marble for shower - Yael unit</t>
        </is>
      </c>
      <c r="D130" s="14" t="inlineStr">
        <is>
          <t>Supplier</t>
        </is>
      </c>
      <c r="E130" s="15" t="n">
        <v>50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2026-06-29</t>
        </is>
      </c>
    </row>
    <row r="131">
      <c r="A131" s="14" t="inlineStr">
        <is>
          <t>2026-06-28</t>
        </is>
      </c>
      <c r="B131" s="14" t="inlineStr">
        <is>
          <t>Fuel</t>
        </is>
      </c>
      <c r="C131" s="14" t="inlineStr">
        <is>
          <t>Site fuel week Jun25-28</t>
        </is>
      </c>
      <c r="D131" s="14" t="inlineStr">
        <is>
          <t>Vicky</t>
        </is>
      </c>
      <c r="E131" s="15" t="n">
        <v>40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2026-06-29</t>
        </is>
      </c>
    </row>
    <row r="132">
      <c r="A132" s="14" t="inlineStr">
        <is>
          <t>2026-06-28</t>
        </is>
      </c>
      <c r="B132" s="14" t="inlineStr">
        <is>
          <t>Labour</t>
        </is>
      </c>
      <c r="C132" s="14" t="inlineStr">
        <is>
          <t>Workers week Jun25-28 (Yael unit + site)</t>
        </is>
      </c>
      <c r="D132" s="14" t="inlineStr">
        <is>
          <t>Workers</t>
        </is>
      </c>
      <c r="E132" s="15" t="n">
        <v>2600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2026-06-29</t>
        </is>
      </c>
    </row>
    <row r="133">
      <c r="A133" s="14" t="inlineStr">
        <is>
          <t>2026-05-23</t>
        </is>
      </c>
      <c r="B133" s="14" t="inlineStr">
        <is>
          <t>Electrical</t>
        </is>
      </c>
      <c r="C133" s="14" t="inlineStr">
        <is>
          <t>Electrician - 2 apts+2 storages+outdoor</t>
        </is>
      </c>
      <c r="D133" s="14" t="inlineStr">
        <is>
          <t>Electrician</t>
        </is>
      </c>
      <c r="E133" s="15" t="n">
        <v>9500</v>
      </c>
      <c r="F133" s="16" t="inlineStr">
        <is>
          <t>cash</t>
        </is>
      </c>
      <c r="G133" s="16" t="inlineStr">
        <is>
          <t>Yes</t>
        </is>
      </c>
      <c r="H133" s="18" t="inlineStr">
        <is>
          <t>Committed</t>
        </is>
      </c>
      <c r="I133" s="14" t="inlineStr"/>
    </row>
    <row r="134">
      <c r="A134" s="14" t="inlineStr">
        <is>
          <t>2026-05-23</t>
        </is>
      </c>
      <c r="B134" s="14" t="inlineStr">
        <is>
          <t>Electrical</t>
        </is>
      </c>
      <c r="C134" s="14" t="inlineStr">
        <is>
          <t>Electrical plans - submitted to authority</t>
        </is>
      </c>
      <c r="D134" s="14" t="inlineStr">
        <is>
          <t>Electrician</t>
        </is>
      </c>
      <c r="E134" s="15" t="n">
        <v>1000</v>
      </c>
      <c r="F134" s="16" t="inlineStr">
        <is>
          <t>-</t>
        </is>
      </c>
      <c r="G134" s="16" t="inlineStr">
        <is>
          <t>Yes</t>
        </is>
      </c>
      <c r="H134" s="18" t="inlineStr">
        <is>
          <t>Committed</t>
        </is>
      </c>
      <c r="I134" s="14" t="inlineStr"/>
    </row>
    <row r="135">
      <c r="A135" s="14" t="inlineStr">
        <is>
          <t>2026-05-23</t>
        </is>
      </c>
      <c r="B135" s="14" t="inlineStr">
        <is>
          <t>Electrical</t>
        </is>
      </c>
      <c r="C135" s="14" t="inlineStr">
        <is>
          <t>Three-phase meter (Kobi's name)</t>
        </is>
      </c>
      <c r="D135" s="14" t="inlineStr">
        <is>
          <t>Electrician</t>
        </is>
      </c>
      <c r="E135" s="15" t="n">
        <v>750</v>
      </c>
      <c r="F135" s="16" t="inlineStr">
        <is>
          <t>-</t>
        </is>
      </c>
      <c r="G135" s="16" t="inlineStr">
        <is>
          <t>Yes</t>
        </is>
      </c>
      <c r="H135" s="18" t="inlineStr">
        <is>
          <t>Committed</t>
        </is>
      </c>
      <c r="I135" s="14" t="inlineStr"/>
    </row>
    <row r="136">
      <c r="A136" s="14" t="inlineStr">
        <is>
          <t>2026-05-23</t>
        </is>
      </c>
      <c r="B136" s="14" t="inlineStr">
        <is>
          <t>Electrical</t>
        </is>
      </c>
      <c r="C136" s="14" t="inlineStr">
        <is>
          <t>Electrician advance - 130m piping reimb.</t>
        </is>
      </c>
      <c r="D136" s="14" t="inlineStr">
        <is>
          <t>Electrician</t>
        </is>
      </c>
      <c r="E136" s="15" t="n">
        <v>1000</v>
      </c>
      <c r="F136" s="16" t="inlineStr">
        <is>
          <t>cash</t>
        </is>
      </c>
      <c r="G136" s="16" t="inlineStr">
        <is>
          <t>Yes</t>
        </is>
      </c>
      <c r="H136" s="18" t="inlineStr">
        <is>
          <t>Committed</t>
        </is>
      </c>
      <c r="I136" s="14" t="inlineStr"/>
    </row>
    <row r="137">
      <c r="A137" s="14" t="inlineStr">
        <is>
          <t>2026-05-23</t>
        </is>
      </c>
      <c r="B137" s="14" t="inlineStr">
        <is>
          <t>Windows/Iron</t>
        </is>
      </c>
      <c r="C137" s="14" t="inlineStr">
        <is>
          <t>Metalworker - small storage door+window</t>
        </is>
      </c>
      <c r="D137" s="14" t="inlineStr">
        <is>
          <t>Metalworker</t>
        </is>
      </c>
      <c r="E137" s="15" t="n">
        <v>550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2026-06-15</t>
        </is>
      </c>
      <c r="B138" s="14" t="inlineStr">
        <is>
          <t>Site Works</t>
        </is>
      </c>
      <c r="C138" s="14" t="inlineStr">
        <is>
          <t>Excavator - road compaction (60t roller)</t>
        </is>
      </c>
      <c r="D138" s="14" t="inlineStr">
        <is>
          <t>Excavator</t>
        </is>
      </c>
      <c r="E138" s="15" t="n">
        <v>600</v>
      </c>
      <c r="F138" s="16" t="inlineStr">
        <is>
          <t>cash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2026-06-25</t>
        </is>
      </c>
      <c r="B139" s="14" t="inlineStr">
        <is>
          <t>Legal/Admin</t>
        </is>
      </c>
      <c r="C139" s="14" t="inlineStr">
        <is>
          <t>Worker insurance Apr-Jun (€1,286 x3)</t>
        </is>
      </c>
      <c r="D139" s="14" t="inlineStr">
        <is>
          <t>EFKA</t>
        </is>
      </c>
      <c r="E139" s="15" t="n">
        <v>3858</v>
      </c>
      <c r="F139" s="16" t="inlineStr">
        <is>
          <t>-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A140" s="14" t="inlineStr">
        <is>
          <t>2026-06-24</t>
        </is>
      </c>
      <c r="B140" s="14" t="inlineStr">
        <is>
          <t>Materials</t>
        </is>
      </c>
      <c r="C140" s="14" t="inlineStr">
        <is>
          <t>Kairis - remaining balance</t>
        </is>
      </c>
      <c r="D140" s="14" t="inlineStr">
        <is>
          <t>Kairis</t>
        </is>
      </c>
      <c r="E140" s="15" t="n">
        <v>195</v>
      </c>
      <c r="F140" s="16" t="inlineStr">
        <is>
          <t>cash</t>
        </is>
      </c>
      <c r="G140" s="16" t="inlineStr">
        <is>
          <t>Yes</t>
        </is>
      </c>
      <c r="H140" s="18" t="inlineStr">
        <is>
          <t>Committed</t>
        </is>
      </c>
      <c r="I140" s="14" t="inlineStr"/>
    </row>
    <row r="141">
      <c r="D141" s="19" t="inlineStr">
        <is>
          <t>PAID — total</t>
        </is>
      </c>
      <c r="E141" s="20">
        <f>SUMIF(H5:H140,"Paid",E5:E140)</f>
        <v/>
      </c>
    </row>
    <row r="142">
      <c r="D142" s="19" t="inlineStr">
        <is>
          <t>COMMITTED (approved, unpaid)</t>
        </is>
      </c>
      <c r="E142" s="21">
        <f>SUMIF(H5:H140,"Committed",E5:E140)</f>
        <v/>
      </c>
    </row>
    <row r="143">
      <c r="D143" s="22" t="inlineStr">
        <is>
          <t>PAID — from NBG (cash/transfer)</t>
        </is>
      </c>
      <c r="E143" s="23">
        <f>SUMIFS(E5:E140,H5:H140,"Paid",G5:G140,"Yes")</f>
        <v/>
      </c>
    </row>
    <row r="144">
      <c r="D144" s="22" t="inlineStr">
        <is>
          <t>PAID — outside NBG (Wise/card)</t>
        </is>
      </c>
      <c r="E144" s="23">
        <f>SUMIFS(E5:E140,H5:H140,"Paid",G5:G140,"No")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25" t="inlineStr">
        <is>
          <t>TOTAL DEPOSITS (counted)</t>
        </is>
      </c>
      <c r="B12" s="26">
        <f>SUMIF(E5:E11,"Yes",B5:B11)</f>
        <v/>
      </c>
    </row>
    <row r="14">
      <c r="A14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5">
      <c r="A15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Ledger'!E5:E140,'Renovation Ledger'!B5:B140,A5,'Renovation Ledger'!H5:H140,"Paid")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Ledger'!E5:E140,'Renovation Ledger'!B5:B140,A6,'Renovation Ledger'!H5:H140,"Paid")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Ledger'!E5:E140,'Renovation Ledger'!B5:B140,A7,'Renovation Ledger'!H5:H140,"Paid")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Ledger'!E5:E140,'Renovation Ledger'!B5:B140,A8,'Renovation Ledger'!H5:H140,"Paid")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Ledger'!E5:E140,'Renovation Ledger'!B5:B140,A9,'Renovation Ledger'!H5:H140,"Paid")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Ledger'!E5:E140,'Renovation Ledger'!B5:B140,A10,'Renovation Ledger'!H5:H140,"Paid")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Ledger'!E5:E140,'Renovation Ledger'!B5:B140,A11,'Renovation Ledger'!H5:H140,"Paid")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Ledger'!E5:E140,'Renovation Ledger'!B5:B140,A12,'Renovation Ledger'!H5:H140,"Paid")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Ledger'!E5:E140,'Renovation Ledger'!B5:B140,A13,'Renovation Ledger'!H5:H140,"Paid")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Ledger'!E5:E140,'Renovation Ledger'!B5:B140,A14,'Renovation Ledger'!H5:H140,"Paid")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Ledger'!E5:E140,'Renovation Ledger'!B5:B140,A15,'Renovation Ledger'!H5:H140,"Paid")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Ledger'!E5:E140,'Renovation Ledger'!B5:B140,A16,'Renovation Ledger'!H5:H140,"Paid")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Ledger'!E5:E140,'Renovation Ledger'!B5:B140,A17,'Renovation Ledger'!H5:H140,"Paid")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Ledger'!E5:E140,'Renovation Ledger'!B5:B140,A18,'Renovation Ledger'!H5:H140,"Paid")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Ledger'!E5:E140,'Renovation Ledger'!B5:B140,A19,'Renovation Ledger'!H5:H140,"Paid")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Ledger'!E143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Ledger'!E143-69935.92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</sheetData>
  <mergeCells count="4">
    <mergeCell ref="A1:D1"/>
    <mergeCell ref="B23:D23"/>
    <mergeCell ref="B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2026-07-07T07:57:01Z</dcterms:created>
  <dcterms:modified xmlns:dcterms="http://purl.org/dc/terms/" xmlns:xsi="http://www.w3.org/2001/XMLSchema-instance" xsi:type="dcterms:W3CDTF">2026-07-07T07:57:01Z</dcterms:modified>
</cp:coreProperties>
</file>