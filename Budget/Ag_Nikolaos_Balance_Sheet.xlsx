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novation Ledger" sheetId="2" state="visible" r:id="rId2"/>
    <sheet xmlns:r="http://schemas.openxmlformats.org/officeDocument/2006/relationships" name="Funding (NBG Deposits)" sheetId="3" state="visible" r:id="rId3"/>
    <sheet xmlns:r="http://schemas.openxmlformats.org/officeDocument/2006/relationships" name="Property Acquisition 2025" sheetId="4" state="visible" r:id="rId4"/>
    <sheet xmlns:r="http://schemas.openxmlformats.org/officeDocument/2006/relationships" name="Out-of-NBG &amp; Reimburse" sheetId="5" state="visible" r:id="rId5"/>
    <sheet xmlns:r="http://schemas.openxmlformats.org/officeDocument/2006/relationships" name="Category Rollup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Flags &amp; Ded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€#,##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595959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9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C00000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b val="1"/>
      <color rgb="00FFFFFF"/>
      <sz val="12"/>
    </font>
    <font>
      <name val="Arial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6E0F0"/>
      </patternFill>
    </fill>
    <fill>
      <patternFill patternType="solid">
        <fgColor rgb="00FFC7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2" fillId="3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13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5" fontId="13" fillId="8" borderId="1" applyAlignment="1" pivotButton="0" quotePrefix="0" xfId="0">
      <alignment horizontal="center" vertical="center" wrapText="1"/>
    </xf>
    <xf numFmtId="165" fontId="13" fillId="5" borderId="1" applyAlignment="1" pivotButton="0" quotePrefix="0" xfId="0">
      <alignment horizontal="center" vertical="center" wrapText="1"/>
    </xf>
    <xf numFmtId="164" fontId="13" fillId="4" borderId="1" applyAlignment="1" pivotButton="0" quotePrefix="0" xfId="0">
      <alignment horizontal="center" vertical="center" wrapText="1"/>
    </xf>
    <xf numFmtId="164" fontId="13" fillId="5" borderId="1" applyAlignment="1" pivotButton="0" quotePrefix="0" xfId="0">
      <alignment horizontal="center" vertical="center" wrapText="1"/>
    </xf>
    <xf numFmtId="165" fontId="13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164" fontId="5" fillId="6" borderId="0" pivotButton="0" quotePrefix="0" xfId="0"/>
    <xf numFmtId="164" fontId="5" fillId="5" borderId="0" pivotButton="0" quotePrefix="0" xfId="0"/>
    <xf numFmtId="0" fontId="6" fillId="0" borderId="0" applyAlignment="1" pivotButton="0" quotePrefix="0" xfId="0">
      <alignment horizontal="right" vertical="center"/>
    </xf>
    <xf numFmtId="164" fontId="6" fillId="0" borderId="0" pivotButton="0" quotePrefix="0" xfId="0"/>
    <xf numFmtId="165" fontId="4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165" fontId="7" fillId="6" borderId="0" pivotButton="0" quotePrefix="0" xfId="0"/>
    <xf numFmtId="0" fontId="8" fillId="0" borderId="0" pivotButton="0" quotePrefix="0" xfId="0"/>
    <xf numFmtId="165" fontId="5" fillId="6" borderId="0" pivotButton="0" quotePrefix="0" xfId="0"/>
    <xf numFmtId="0" fontId="5" fillId="0" borderId="0" pivotButton="0" quotePrefix="0" xfId="0"/>
    <xf numFmtId="0" fontId="5" fillId="6" borderId="1" pivotButton="0" quotePrefix="0" xfId="0"/>
    <xf numFmtId="164" fontId="10" fillId="6" borderId="1" applyAlignment="1" pivotButton="0" quotePrefix="0" xfId="0">
      <alignment horizontal="right" vertical="center"/>
    </xf>
    <xf numFmtId="0" fontId="5" fillId="4" borderId="1" pivotButton="0" quotePrefix="0" xfId="0"/>
    <xf numFmtId="164" fontId="10" fillId="4" borderId="1" applyAlignment="1" pivotButton="0" quotePrefix="0" xfId="0">
      <alignment horizontal="right" vertical="center"/>
    </xf>
    <xf numFmtId="0" fontId="10" fillId="0" borderId="1" pivotButton="0" quotePrefix="0" xfId="0"/>
    <xf numFmtId="164" fontId="10" fillId="0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7" fillId="0" borderId="0" pivotButton="0" quotePrefix="0" xfId="0"/>
    <xf numFmtId="164" fontId="7" fillId="4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164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11" fillId="3" borderId="0" pivotButton="0" quotePrefix="0" xfId="0"/>
    <xf numFmtId="164" fontId="5" fillId="6" borderId="0" applyAlignment="1" pivotButton="0" quotePrefix="0" xfId="0">
      <alignment horizontal="right" vertical="center"/>
    </xf>
    <xf numFmtId="164" fontId="5" fillId="5" borderId="0" applyAlignment="1" pivotButton="0" quotePrefix="0" xfId="0">
      <alignment horizontal="right" vertical="center"/>
    </xf>
    <xf numFmtId="164" fontId="7" fillId="7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50" customWidth="1" min="3" max="3"/>
    <col width="4" customWidth="1" min="4" max="4"/>
  </cols>
  <sheetData>
    <row r="1" ht="28" customHeight="1">
      <c r="A1" s="1" t="inlineStr">
        <is>
          <t>Ag. Nikolaos Home — Project Balance Sheet</t>
        </is>
      </c>
    </row>
    <row r="2">
      <c r="A2" s="2" t="inlineStr">
        <is>
          <t>Financial ground truth. Currency: EUR. Last updated 2026-10-05. Sources: project folder, Drive payments sheet, WhatsApp 'Evia HOME', Gmail, bank confirmations.</t>
        </is>
      </c>
    </row>
    <row r="4">
      <c r="A4" s="3" t="inlineStr">
        <is>
          <t>FUNDING &amp; POSITION</t>
        </is>
      </c>
    </row>
    <row r="5">
      <c r="A5" s="4" t="inlineStr">
        <is>
          <t>Total deposited into NBG</t>
        </is>
      </c>
      <c r="B5" s="5">
        <f>'Funding (NBG Deposits)'!B13</f>
        <v/>
      </c>
      <c r="C5" s="6" t="inlineStr">
        <is>
          <t>6 transfers Sep-2025 to May-2026 (bank statement)</t>
        </is>
      </c>
    </row>
    <row r="6">
      <c r="A6" s="4" t="inlineStr">
        <is>
          <t>Property acquisition (2025)</t>
        </is>
      </c>
      <c r="B6" s="7">
        <f>'Property Acquisition 2025'!D19</f>
        <v/>
      </c>
      <c r="C6" s="6" t="inlineStr">
        <is>
          <t>Contract price €145,000 + legal/notary/tax</t>
        </is>
      </c>
    </row>
    <row r="7">
      <c r="A7" s="4" t="inlineStr">
        <is>
          <t>Current NBG balance</t>
        </is>
      </c>
      <c r="B7" s="8" t="n">
        <v>49805</v>
      </c>
      <c r="C7" s="6" t="inlineStr">
        <is>
          <t>Reported 2026-10-05 (see Reconciliation &gt; Rolling Bridge for the residual check)</t>
        </is>
      </c>
    </row>
    <row r="9">
      <c r="A9" s="3" t="inlineStr">
        <is>
          <t>RENOVATION</t>
        </is>
      </c>
    </row>
    <row r="10">
      <c r="A10" s="4" t="inlineStr">
        <is>
          <t>Renovation paid to date</t>
        </is>
      </c>
      <c r="B10" s="9">
        <f>'Renovation Ledger'!E167</f>
        <v/>
      </c>
      <c r="C10" s="6" t="inlineStr">
        <is>
          <t>All methods, de-duplicated</t>
        </is>
      </c>
    </row>
    <row r="11">
      <c r="A11" s="4" t="inlineStr">
        <is>
          <t>Committed (approved, unpaid)</t>
        </is>
      </c>
      <c r="B11" s="10">
        <f>'Renovation Ledger'!E168</f>
        <v/>
      </c>
      <c r="C11" s="6" t="inlineStr">
        <is>
          <t>Electrician, metalworker, insurance, etc.</t>
        </is>
      </c>
    </row>
    <row r="12">
      <c r="A12" s="4" t="inlineStr">
        <is>
          <t>Acquisition + Renovation paid</t>
        </is>
      </c>
      <c r="B12" s="5">
        <f>'Property Acquisition 2025'!D19+'Renovation Ledger'!E167</f>
        <v/>
      </c>
      <c r="C12" s="6" t="inlineStr">
        <is>
          <t>Total cash deployed into the project to date</t>
        </is>
      </c>
    </row>
    <row r="14">
      <c r="A14" s="3" t="inlineStr">
        <is>
          <t>RECONCILIATION CHECK</t>
        </is>
      </c>
    </row>
    <row r="15">
      <c r="A15" s="4" t="inlineStr">
        <is>
          <t>NBG reconciliation difference</t>
        </is>
      </c>
      <c r="B15" s="11">
        <f>Reconciliation!C16</f>
        <v/>
      </c>
      <c r="C15" s="6" t="inlineStr">
        <is>
          <t>Account ties to the official statement (zero)</t>
        </is>
      </c>
    </row>
    <row r="17">
      <c r="A17" s="12" t="inlineStr">
        <is>
          <t>⚑ Open items needing your confirmation are on the 'Flags &amp; Dedup' tab.</t>
        </is>
      </c>
    </row>
  </sheetData>
  <mergeCells count="6">
    <mergeCell ref="A1:D1"/>
    <mergeCell ref="A17:D17"/>
    <mergeCell ref="A9:D9"/>
    <mergeCell ref="A4:D4"/>
    <mergeCell ref="A2:D2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42" customWidth="1" min="3" max="3"/>
    <col width="20" customWidth="1" min="4" max="4"/>
    <col width="13" customWidth="1" min="5" max="5"/>
    <col width="12" customWidth="1" min="6" max="6"/>
    <col width="9" customWidth="1" min="7" max="7"/>
    <col width="12" customWidth="1" min="8" max="8"/>
    <col width="13" customWidth="1" min="9" max="9"/>
  </cols>
  <sheetData>
    <row r="1" ht="28" customHeight="1">
      <c r="A1" s="1" t="inlineStr">
        <is>
          <t>Renovation Ledger — Ag. Nikolaos Home</t>
        </is>
      </c>
    </row>
    <row r="2">
      <c r="A2" s="2" t="inlineStr">
        <is>
          <t>Every renovation expense (Jan–Jun 2026), de-duplicated. The €380 demolition hammer drill (18-Jun) is a SEPARATE payment, paid by Vicky's card, to be deducted from the Antonis contract.</t>
        </is>
      </c>
    </row>
    <row r="4">
      <c r="A4" s="13" t="inlineStr">
        <is>
          <t>Report Date</t>
        </is>
      </c>
      <c r="B4" s="13" t="inlineStr">
        <is>
          <t>Category</t>
        </is>
      </c>
      <c r="C4" s="13" t="inlineStr">
        <is>
          <t>Description</t>
        </is>
      </c>
      <c r="D4" s="13" t="inlineStr">
        <is>
          <t>Vendor / Payee</t>
        </is>
      </c>
      <c r="E4" s="13" t="inlineStr">
        <is>
          <t>Amount (€)</t>
        </is>
      </c>
      <c r="F4" s="13" t="inlineStr">
        <is>
          <t>Method</t>
        </is>
      </c>
      <c r="G4" s="13" t="inlineStr">
        <is>
          <t>From NBG?</t>
        </is>
      </c>
      <c r="H4" s="13" t="inlineStr">
        <is>
          <t>Status</t>
        </is>
      </c>
      <c r="I4" s="13" t="inlineStr">
        <is>
          <t>Payment Date</t>
        </is>
      </c>
    </row>
    <row r="5">
      <c r="A5" s="14" t="inlineStr">
        <is>
          <t>2026-01-17</t>
        </is>
      </c>
      <c r="B5" s="14" t="inlineStr">
        <is>
          <t>Waste/Bins</t>
        </is>
      </c>
      <c r="C5" s="14" t="inlineStr">
        <is>
          <t>Recycle/waste bins (8)</t>
        </is>
      </c>
      <c r="D5" s="14" t="inlineStr">
        <is>
          <t>Kairis</t>
        </is>
      </c>
      <c r="E5" s="15" t="n">
        <v>992</v>
      </c>
      <c r="F5" s="16" t="inlineStr">
        <is>
          <t>cash</t>
        </is>
      </c>
      <c r="G5" s="16" t="inlineStr">
        <is>
          <t>Yes</t>
        </is>
      </c>
      <c r="H5" s="17" t="inlineStr">
        <is>
          <t>Paid</t>
        </is>
      </c>
      <c r="I5" s="14" t="inlineStr">
        <is>
          <t>2026-01-17</t>
        </is>
      </c>
    </row>
    <row r="6">
      <c r="A6" s="14" t="inlineStr">
        <is>
          <t>2026-01-17</t>
        </is>
      </c>
      <c r="B6" s="14" t="inlineStr">
        <is>
          <t>Labour</t>
        </is>
      </c>
      <c r="C6" s="14" t="inlineStr">
        <is>
          <t>Team leader/manager (11 days)</t>
        </is>
      </c>
      <c r="D6" s="14" t="inlineStr">
        <is>
          <t>Meli</t>
        </is>
      </c>
      <c r="E6" s="15" t="n">
        <v>880</v>
      </c>
      <c r="F6" s="16" t="inlineStr">
        <is>
          <t>cash</t>
        </is>
      </c>
      <c r="G6" s="16" t="inlineStr">
        <is>
          <t>Yes</t>
        </is>
      </c>
      <c r="H6" s="17" t="inlineStr">
        <is>
          <t>Paid</t>
        </is>
      </c>
      <c r="I6" s="14" t="inlineStr">
        <is>
          <t>2026-01-17</t>
        </is>
      </c>
    </row>
    <row r="7">
      <c r="A7" s="14" t="inlineStr">
        <is>
          <t>2026-01-17</t>
        </is>
      </c>
      <c r="B7" s="14" t="inlineStr">
        <is>
          <t>Labour</t>
        </is>
      </c>
      <c r="C7" s="14" t="inlineStr">
        <is>
          <t>Workers (18 worker-days)</t>
        </is>
      </c>
      <c r="D7" s="14" t="inlineStr">
        <is>
          <t>Workers</t>
        </is>
      </c>
      <c r="E7" s="15" t="n">
        <v>900</v>
      </c>
      <c r="F7" s="16" t="inlineStr">
        <is>
          <t>cash</t>
        </is>
      </c>
      <c r="G7" s="16" t="inlineStr">
        <is>
          <t>Yes</t>
        </is>
      </c>
      <c r="H7" s="17" t="inlineStr">
        <is>
          <t>Paid</t>
        </is>
      </c>
      <c r="I7" s="14" t="inlineStr">
        <is>
          <t>2026-01-17</t>
        </is>
      </c>
    </row>
    <row r="8">
      <c r="A8" s="14" t="inlineStr">
        <is>
          <t>2026-01-17</t>
        </is>
      </c>
      <c r="B8" s="14" t="inlineStr">
        <is>
          <t>Electrical</t>
        </is>
      </c>
      <c r="C8" s="14" t="inlineStr">
        <is>
          <t>Electricity materials</t>
        </is>
      </c>
      <c r="D8" s="14" t="inlineStr">
        <is>
          <t>Supplier</t>
        </is>
      </c>
      <c r="E8" s="15" t="n">
        <v>250</v>
      </c>
      <c r="F8" s="16" t="inlineStr">
        <is>
          <t>cash</t>
        </is>
      </c>
      <c r="G8" s="16" t="inlineStr">
        <is>
          <t>Yes</t>
        </is>
      </c>
      <c r="H8" s="17" t="inlineStr">
        <is>
          <t>Paid</t>
        </is>
      </c>
      <c r="I8" s="14" t="inlineStr">
        <is>
          <t>2026-01-17</t>
        </is>
      </c>
    </row>
    <row r="9">
      <c r="A9" s="14" t="inlineStr">
        <is>
          <t>2026-01-17</t>
        </is>
      </c>
      <c r="B9" s="14" t="inlineStr">
        <is>
          <t>Equipment</t>
        </is>
      </c>
      <c r="C9" s="14" t="inlineStr">
        <is>
          <t>Tool damage replacement</t>
        </is>
      </c>
      <c r="D9" s="14" t="inlineStr">
        <is>
          <t>-</t>
        </is>
      </c>
      <c r="E9" s="15" t="n">
        <v>250</v>
      </c>
      <c r="F9" s="16" t="inlineStr">
        <is>
          <t>cash</t>
        </is>
      </c>
      <c r="G9" s="16" t="inlineStr">
        <is>
          <t>Yes</t>
        </is>
      </c>
      <c r="H9" s="17" t="inlineStr">
        <is>
          <t>Paid</t>
        </is>
      </c>
      <c r="I9" s="14" t="inlineStr">
        <is>
          <t>2026-01-17</t>
        </is>
      </c>
    </row>
    <row r="10">
      <c r="A10" s="14" t="inlineStr">
        <is>
          <t>2026-01-24</t>
        </is>
      </c>
      <c r="B10" s="14" t="inlineStr">
        <is>
          <t>Waste/Bins</t>
        </is>
      </c>
      <c r="C10" s="14" t="inlineStr">
        <is>
          <t>Recycle/waste bins (2)</t>
        </is>
      </c>
      <c r="D10" s="14" t="inlineStr">
        <is>
          <t>Kairis</t>
        </is>
      </c>
      <c r="E10" s="15" t="n">
        <v>248</v>
      </c>
      <c r="F10" s="16" t="inlineStr">
        <is>
          <t>cash</t>
        </is>
      </c>
      <c r="G10" s="16" t="inlineStr">
        <is>
          <t>Yes</t>
        </is>
      </c>
      <c r="H10" s="17" t="inlineStr">
        <is>
          <t>Paid</t>
        </is>
      </c>
      <c r="I10" s="14" t="inlineStr">
        <is>
          <t>2026-01-24</t>
        </is>
      </c>
    </row>
    <row r="11">
      <c r="A11" s="14" t="inlineStr">
        <is>
          <t>2026-01-24</t>
        </is>
      </c>
      <c r="B11" s="14" t="inlineStr">
        <is>
          <t>Materials</t>
        </is>
      </c>
      <c r="C11" s="14" t="inlineStr">
        <is>
          <t>Cement - large storage base</t>
        </is>
      </c>
      <c r="D11" s="14" t="inlineStr">
        <is>
          <t>Amanatidis</t>
        </is>
      </c>
      <c r="E11" s="15" t="n">
        <v>431.48</v>
      </c>
      <c r="F11" s="16" t="inlineStr">
        <is>
          <t>NBG card</t>
        </is>
      </c>
      <c r="G11" s="16" t="inlineStr">
        <is>
          <t>Yes</t>
        </is>
      </c>
      <c r="H11" s="17" t="inlineStr">
        <is>
          <t>Paid</t>
        </is>
      </c>
      <c r="I11" s="14" t="inlineStr">
        <is>
          <t>2026-01-24</t>
        </is>
      </c>
    </row>
    <row r="12">
      <c r="A12" s="14" t="inlineStr">
        <is>
          <t>2026-01-24</t>
        </is>
      </c>
      <c r="B12" s="14" t="inlineStr">
        <is>
          <t>Labour</t>
        </is>
      </c>
      <c r="C12" s="14" t="inlineStr">
        <is>
          <t>Workers (16 worker-days)</t>
        </is>
      </c>
      <c r="D12" s="14" t="inlineStr">
        <is>
          <t>Workers</t>
        </is>
      </c>
      <c r="E12" s="15" t="n">
        <v>800</v>
      </c>
      <c r="F12" s="16" t="inlineStr">
        <is>
          <t>cash</t>
        </is>
      </c>
      <c r="G12" s="16" t="inlineStr">
        <is>
          <t>Yes</t>
        </is>
      </c>
      <c r="H12" s="17" t="inlineStr">
        <is>
          <t>Paid</t>
        </is>
      </c>
      <c r="I12" s="14" t="inlineStr">
        <is>
          <t>2026-01-24</t>
        </is>
      </c>
    </row>
    <row r="13">
      <c r="A13" s="14" t="inlineStr">
        <is>
          <t>2026-01-24</t>
        </is>
      </c>
      <c r="B13" s="14" t="inlineStr">
        <is>
          <t>Labour</t>
        </is>
      </c>
      <c r="C13" s="14" t="inlineStr">
        <is>
          <t>Team leader (7 days)</t>
        </is>
      </c>
      <c r="D13" s="14" t="inlineStr">
        <is>
          <t>Meli</t>
        </is>
      </c>
      <c r="E13" s="15" t="n">
        <v>560</v>
      </c>
      <c r="F13" s="16" t="inlineStr">
        <is>
          <t>cash</t>
        </is>
      </c>
      <c r="G13" s="16" t="inlineStr">
        <is>
          <t>Yes</t>
        </is>
      </c>
      <c r="H13" s="17" t="inlineStr">
        <is>
          <t>Paid</t>
        </is>
      </c>
      <c r="I13" s="14" t="inlineStr">
        <is>
          <t>2026-01-24</t>
        </is>
      </c>
    </row>
    <row r="14">
      <c r="A14" s="14" t="inlineStr">
        <is>
          <t>2026-01-24</t>
        </is>
      </c>
      <c r="B14" s="14" t="inlineStr">
        <is>
          <t>Equipment</t>
        </is>
      </c>
      <c r="C14" s="14" t="inlineStr">
        <is>
          <t>Tool spare parts/materials</t>
        </is>
      </c>
      <c r="D14" s="14" t="inlineStr">
        <is>
          <t>Poutichidis</t>
        </is>
      </c>
      <c r="E14" s="15" t="n">
        <v>120</v>
      </c>
      <c r="F14" s="16" t="inlineStr">
        <is>
          <t>cash</t>
        </is>
      </c>
      <c r="G14" s="16" t="inlineStr">
        <is>
          <t>Yes</t>
        </is>
      </c>
      <c r="H14" s="17" t="inlineStr">
        <is>
          <t>Paid</t>
        </is>
      </c>
      <c r="I14" s="14" t="inlineStr">
        <is>
          <t>2026-01-24</t>
        </is>
      </c>
    </row>
    <row r="15">
      <c r="A15" s="14" t="inlineStr">
        <is>
          <t>2026-01-24</t>
        </is>
      </c>
      <c r="B15" s="14" t="inlineStr">
        <is>
          <t>Materials</t>
        </is>
      </c>
      <c r="C15" s="14" t="inlineStr">
        <is>
          <t>Steel - large storage base</t>
        </is>
      </c>
      <c r="D15" s="14" t="inlineStr">
        <is>
          <t>Kairis</t>
        </is>
      </c>
      <c r="E15" s="15" t="n">
        <v>350</v>
      </c>
      <c r="F15" s="16" t="inlineStr">
        <is>
          <t>cash</t>
        </is>
      </c>
      <c r="G15" s="16" t="inlineStr">
        <is>
          <t>Yes</t>
        </is>
      </c>
      <c r="H15" s="17" t="inlineStr">
        <is>
          <t>Paid</t>
        </is>
      </c>
      <c r="I15" s="14" t="inlineStr">
        <is>
          <t>2026-01-24</t>
        </is>
      </c>
    </row>
    <row r="16">
      <c r="A16" s="14" t="inlineStr">
        <is>
          <t>2026-02-02</t>
        </is>
      </c>
      <c r="B16" s="14" t="inlineStr">
        <is>
          <t>Materials</t>
        </is>
      </c>
      <c r="C16" s="14" t="inlineStr">
        <is>
          <t>Steel reinforcements</t>
        </is>
      </c>
      <c r="D16" s="14" t="inlineStr">
        <is>
          <t>Kairis</t>
        </is>
      </c>
      <c r="E16" s="15" t="n">
        <v>220</v>
      </c>
      <c r="F16" s="16" t="inlineStr">
        <is>
          <t>cash</t>
        </is>
      </c>
      <c r="G16" s="16" t="inlineStr">
        <is>
          <t>Yes</t>
        </is>
      </c>
      <c r="H16" s="17" t="inlineStr">
        <is>
          <t>Paid</t>
        </is>
      </c>
      <c r="I16" s="14" t="inlineStr">
        <is>
          <t>2026-02-02</t>
        </is>
      </c>
    </row>
    <row r="17">
      <c r="A17" s="14" t="inlineStr">
        <is>
          <t>2026-02-02</t>
        </is>
      </c>
      <c r="B17" s="14" t="inlineStr">
        <is>
          <t>Materials</t>
        </is>
      </c>
      <c r="C17" s="14" t="inlineStr">
        <is>
          <t>Cement - large storage slab</t>
        </is>
      </c>
      <c r="D17" s="14" t="inlineStr">
        <is>
          <t>Amanatidis</t>
        </is>
      </c>
      <c r="E17" s="15" t="n">
        <v>800.0700000000001</v>
      </c>
      <c r="F17" s="16" t="inlineStr">
        <is>
          <t>NBG card</t>
        </is>
      </c>
      <c r="G17" s="16" t="inlineStr">
        <is>
          <t>Yes</t>
        </is>
      </c>
      <c r="H17" s="17" t="inlineStr">
        <is>
          <t>Paid</t>
        </is>
      </c>
      <c r="I17" s="14" t="inlineStr">
        <is>
          <t>2026-02-02</t>
        </is>
      </c>
    </row>
    <row r="18">
      <c r="A18" s="14" t="inlineStr">
        <is>
          <t>2026-02-02</t>
        </is>
      </c>
      <c r="B18" s="14" t="inlineStr">
        <is>
          <t>Labour</t>
        </is>
      </c>
      <c r="C18" s="14" t="inlineStr">
        <is>
          <t>Team leader (5 days)</t>
        </is>
      </c>
      <c r="D18" s="14" t="inlineStr">
        <is>
          <t>Meli</t>
        </is>
      </c>
      <c r="E18" s="15" t="n">
        <v>400</v>
      </c>
      <c r="F18" s="16" t="inlineStr">
        <is>
          <t>cash</t>
        </is>
      </c>
      <c r="G18" s="16" t="inlineStr">
        <is>
          <t>Yes</t>
        </is>
      </c>
      <c r="H18" s="17" t="inlineStr">
        <is>
          <t>Paid</t>
        </is>
      </c>
      <c r="I18" s="14" t="inlineStr">
        <is>
          <t>2026-02-02</t>
        </is>
      </c>
    </row>
    <row r="19">
      <c r="A19" s="14" t="inlineStr">
        <is>
          <t>2026-02-02</t>
        </is>
      </c>
      <c r="B19" s="14" t="inlineStr">
        <is>
          <t>Labour</t>
        </is>
      </c>
      <c r="C19" s="14" t="inlineStr">
        <is>
          <t>Workers (7 worker-days)</t>
        </is>
      </c>
      <c r="D19" s="14" t="inlineStr">
        <is>
          <t>Workers</t>
        </is>
      </c>
      <c r="E19" s="15" t="n">
        <v>350</v>
      </c>
      <c r="F19" s="16" t="inlineStr">
        <is>
          <t>cash</t>
        </is>
      </c>
      <c r="G19" s="16" t="inlineStr">
        <is>
          <t>Yes</t>
        </is>
      </c>
      <c r="H19" s="17" t="inlineStr">
        <is>
          <t>Paid</t>
        </is>
      </c>
      <c r="I19" s="14" t="inlineStr">
        <is>
          <t>2026-02-02</t>
        </is>
      </c>
    </row>
    <row r="20">
      <c r="A20" s="14" t="inlineStr">
        <is>
          <t>2026-02-02</t>
        </is>
      </c>
      <c r="B20" s="14" t="inlineStr">
        <is>
          <t>Waste/Bins</t>
        </is>
      </c>
      <c r="C20" s="14" t="inlineStr">
        <is>
          <t>Recycle/waste bins (2)</t>
        </is>
      </c>
      <c r="D20" s="14" t="inlineStr">
        <is>
          <t>Kairis</t>
        </is>
      </c>
      <c r="E20" s="15" t="n">
        <v>248</v>
      </c>
      <c r="F20" s="16" t="inlineStr">
        <is>
          <t>cash</t>
        </is>
      </c>
      <c r="G20" s="16" t="inlineStr">
        <is>
          <t>Yes</t>
        </is>
      </c>
      <c r="H20" s="17" t="inlineStr">
        <is>
          <t>Paid</t>
        </is>
      </c>
      <c r="I20" s="14" t="inlineStr">
        <is>
          <t>2026-02-02</t>
        </is>
      </c>
    </row>
    <row r="21">
      <c r="A21" s="14" t="inlineStr">
        <is>
          <t>2026-02-02</t>
        </is>
      </c>
      <c r="B21" s="14" t="inlineStr">
        <is>
          <t>Materials</t>
        </is>
      </c>
      <c r="C21" s="14" t="inlineStr">
        <is>
          <t>Steel - large storage base</t>
        </is>
      </c>
      <c r="D21" s="14" t="inlineStr">
        <is>
          <t>Kairis</t>
        </is>
      </c>
      <c r="E21" s="15" t="n">
        <v>350</v>
      </c>
      <c r="F21" s="16" t="inlineStr">
        <is>
          <t>cash</t>
        </is>
      </c>
      <c r="G21" s="16" t="inlineStr">
        <is>
          <t>Yes</t>
        </is>
      </c>
      <c r="H21" s="17" t="inlineStr">
        <is>
          <t>Paid</t>
        </is>
      </c>
      <c r="I21" s="14" t="inlineStr">
        <is>
          <t>2026-02-02</t>
        </is>
      </c>
    </row>
    <row r="22">
      <c r="A22" s="14" t="inlineStr">
        <is>
          <t>2026-02-07</t>
        </is>
      </c>
      <c r="B22" s="14" t="inlineStr">
        <is>
          <t>Other</t>
        </is>
      </c>
      <c r="C22" s="14" t="inlineStr">
        <is>
          <t>Soula - inconvenience &amp; water</t>
        </is>
      </c>
      <c r="D22" s="14" t="inlineStr">
        <is>
          <t>Soula</t>
        </is>
      </c>
      <c r="E22" s="15" t="n">
        <v>50</v>
      </c>
      <c r="F22" s="16" t="inlineStr">
        <is>
          <t>cash</t>
        </is>
      </c>
      <c r="G22" s="16" t="inlineStr">
        <is>
          <t>Yes</t>
        </is>
      </c>
      <c r="H22" s="17" t="inlineStr">
        <is>
          <t>Paid</t>
        </is>
      </c>
      <c r="I22" s="14" t="inlineStr">
        <is>
          <t>2026-02-07</t>
        </is>
      </c>
    </row>
    <row r="23">
      <c r="A23" s="14" t="inlineStr">
        <is>
          <t>2026-02-07</t>
        </is>
      </c>
      <c r="B23" s="14" t="inlineStr">
        <is>
          <t>Labour</t>
        </is>
      </c>
      <c r="C23" s="14" t="inlineStr">
        <is>
          <t>Workers (9 worker-days)</t>
        </is>
      </c>
      <c r="D23" s="14" t="inlineStr">
        <is>
          <t>Workers</t>
        </is>
      </c>
      <c r="E23" s="15" t="n">
        <v>450</v>
      </c>
      <c r="F23" s="16" t="inlineStr">
        <is>
          <t>cash</t>
        </is>
      </c>
      <c r="G23" s="16" t="inlineStr">
        <is>
          <t>Yes</t>
        </is>
      </c>
      <c r="H23" s="17" t="inlineStr">
        <is>
          <t>Paid</t>
        </is>
      </c>
      <c r="I23" s="14" t="inlineStr">
        <is>
          <t>2026-02-07</t>
        </is>
      </c>
    </row>
    <row r="24">
      <c r="A24" s="14" t="inlineStr">
        <is>
          <t>2026-02-07</t>
        </is>
      </c>
      <c r="B24" s="14" t="inlineStr">
        <is>
          <t>Labour</t>
        </is>
      </c>
      <c r="C24" s="14" t="inlineStr">
        <is>
          <t>Team leader (5 days)</t>
        </is>
      </c>
      <c r="D24" s="14" t="inlineStr">
        <is>
          <t>Meli</t>
        </is>
      </c>
      <c r="E24" s="15" t="n">
        <v>400</v>
      </c>
      <c r="F24" s="16" t="inlineStr">
        <is>
          <t>cash</t>
        </is>
      </c>
      <c r="G24" s="16" t="inlineStr">
        <is>
          <t>Yes</t>
        </is>
      </c>
      <c r="H24" s="17" t="inlineStr">
        <is>
          <t>Paid</t>
        </is>
      </c>
      <c r="I24" s="14" t="inlineStr">
        <is>
          <t>2026-02-07</t>
        </is>
      </c>
    </row>
    <row r="25">
      <c r="A25" s="14" t="inlineStr">
        <is>
          <t>2026-02-07</t>
        </is>
      </c>
      <c r="B25" s="14" t="inlineStr">
        <is>
          <t>Waste/Bins</t>
        </is>
      </c>
      <c r="C25" s="14" t="inlineStr">
        <is>
          <t>Recycle/waste bins (1)</t>
        </is>
      </c>
      <c r="D25" s="14" t="inlineStr">
        <is>
          <t>Kairis</t>
        </is>
      </c>
      <c r="E25" s="15" t="n">
        <v>124</v>
      </c>
      <c r="F25" s="16" t="inlineStr">
        <is>
          <t>cash</t>
        </is>
      </c>
      <c r="G25" s="16" t="inlineStr">
        <is>
          <t>Yes</t>
        </is>
      </c>
      <c r="H25" s="17" t="inlineStr">
        <is>
          <t>Paid</t>
        </is>
      </c>
      <c r="I25" s="14" t="inlineStr">
        <is>
          <t>2026-02-07</t>
        </is>
      </c>
    </row>
    <row r="26">
      <c r="A26" s="14" t="inlineStr">
        <is>
          <t>2026-02-07</t>
        </is>
      </c>
      <c r="B26" s="14" t="inlineStr">
        <is>
          <t>Fuel</t>
        </is>
      </c>
      <c r="C26" s="14" t="inlineStr">
        <is>
          <t>Fuel - concrete mixer (storage slab)</t>
        </is>
      </c>
      <c r="D26" s="14" t="inlineStr">
        <is>
          <t>Gas station</t>
        </is>
      </c>
      <c r="E26" s="15" t="n">
        <v>30</v>
      </c>
      <c r="F26" s="16" t="inlineStr">
        <is>
          <t>cash</t>
        </is>
      </c>
      <c r="G26" s="16" t="inlineStr">
        <is>
          <t>Yes</t>
        </is>
      </c>
      <c r="H26" s="17" t="inlineStr">
        <is>
          <t>Paid</t>
        </is>
      </c>
      <c r="I26" s="14" t="inlineStr">
        <is>
          <t>2026-02-07</t>
        </is>
      </c>
    </row>
    <row r="27">
      <c r="A27" s="14" t="inlineStr">
        <is>
          <t>2026-03-16</t>
        </is>
      </c>
      <c r="B27" s="14" t="inlineStr">
        <is>
          <t>Labour</t>
        </is>
      </c>
      <c r="C27" s="14" t="inlineStr">
        <is>
          <t>Workers (12 wd) - storage/road/trees/elec</t>
        </is>
      </c>
      <c r="D27" s="14" t="inlineStr">
        <is>
          <t>Workers</t>
        </is>
      </c>
      <c r="E27" s="15" t="n">
        <v>600</v>
      </c>
      <c r="F27" s="16" t="inlineStr">
        <is>
          <t>cash</t>
        </is>
      </c>
      <c r="G27" s="16" t="inlineStr">
        <is>
          <t>Yes</t>
        </is>
      </c>
      <c r="H27" s="17" t="inlineStr">
        <is>
          <t>Paid</t>
        </is>
      </c>
      <c r="I27" s="14" t="inlineStr">
        <is>
          <t>2026-03-16</t>
        </is>
      </c>
    </row>
    <row r="28">
      <c r="A28" s="14" t="inlineStr">
        <is>
          <t>2026-03-16</t>
        </is>
      </c>
      <c r="B28" s="14" t="inlineStr">
        <is>
          <t>Labour</t>
        </is>
      </c>
      <c r="C28" s="14" t="inlineStr">
        <is>
          <t>Team leader (3 days)</t>
        </is>
      </c>
      <c r="D28" s="14" t="inlineStr">
        <is>
          <t>Meli</t>
        </is>
      </c>
      <c r="E28" s="15" t="n">
        <v>240</v>
      </c>
      <c r="F28" s="16" t="inlineStr">
        <is>
          <t>cash</t>
        </is>
      </c>
      <c r="G28" s="16" t="inlineStr">
        <is>
          <t>Yes</t>
        </is>
      </c>
      <c r="H28" s="17" t="inlineStr">
        <is>
          <t>Paid</t>
        </is>
      </c>
      <c r="I28" s="14" t="inlineStr">
        <is>
          <t>2026-03-16</t>
        </is>
      </c>
    </row>
    <row r="29">
      <c r="A29" s="14" t="inlineStr">
        <is>
          <t>2026-03-16</t>
        </is>
      </c>
      <c r="B29" s="14" t="inlineStr">
        <is>
          <t>Legal/Admin</t>
        </is>
      </c>
      <c r="C29" s="14" t="inlineStr">
        <is>
          <t>Municipality road-barrier removal</t>
        </is>
      </c>
      <c r="D29" s="14" t="inlineStr">
        <is>
          <t>Municipality</t>
        </is>
      </c>
      <c r="E29" s="15" t="n">
        <v>350</v>
      </c>
      <c r="F29" s="16" t="inlineStr">
        <is>
          <t>cash</t>
        </is>
      </c>
      <c r="G29" s="16" t="inlineStr">
        <is>
          <t>Yes</t>
        </is>
      </c>
      <c r="H29" s="17" t="inlineStr">
        <is>
          <t>Paid</t>
        </is>
      </c>
      <c r="I29" s="14" t="inlineStr">
        <is>
          <t>2026-03-16</t>
        </is>
      </c>
    </row>
    <row r="30">
      <c r="A30" s="14" t="inlineStr">
        <is>
          <t>2026-03-16</t>
        </is>
      </c>
      <c r="B30" s="14" t="inlineStr">
        <is>
          <t>Electrical</t>
        </is>
      </c>
      <c r="C30" s="14" t="inlineStr">
        <is>
          <t>Electrician - bury backyard line + materials</t>
        </is>
      </c>
      <c r="D30" s="14" t="inlineStr">
        <is>
          <t>Electrician</t>
        </is>
      </c>
      <c r="E30" s="15" t="n">
        <v>600</v>
      </c>
      <c r="F30" s="16" t="inlineStr">
        <is>
          <t>cash</t>
        </is>
      </c>
      <c r="G30" s="16" t="inlineStr">
        <is>
          <t>Yes</t>
        </is>
      </c>
      <c r="H30" s="17" t="inlineStr">
        <is>
          <t>Paid</t>
        </is>
      </c>
      <c r="I30" s="14" t="inlineStr">
        <is>
          <t>2026-03-16</t>
        </is>
      </c>
    </row>
    <row r="31">
      <c r="A31" s="14" t="inlineStr">
        <is>
          <t>2026-03-16</t>
        </is>
      </c>
      <c r="B31" s="14" t="inlineStr">
        <is>
          <t>Site Works</t>
        </is>
      </c>
      <c r="C31" s="14" t="inlineStr">
        <is>
          <t>Excavator + 8 gravel trucks (160m road)</t>
        </is>
      </c>
      <c r="D31" s="14" t="inlineStr">
        <is>
          <t>Alexiou</t>
        </is>
      </c>
      <c r="E31" s="15" t="n">
        <v>3700</v>
      </c>
      <c r="F31" s="16" t="inlineStr">
        <is>
          <t>cash</t>
        </is>
      </c>
      <c r="G31" s="16" t="inlineStr">
        <is>
          <t>Yes</t>
        </is>
      </c>
      <c r="H31" s="17" t="inlineStr">
        <is>
          <t>Paid</t>
        </is>
      </c>
      <c r="I31" s="14" t="inlineStr">
        <is>
          <t>2026-03-16</t>
        </is>
      </c>
    </row>
    <row r="32">
      <c r="A32" s="14" t="inlineStr">
        <is>
          <t>2026-03-16</t>
        </is>
      </c>
      <c r="B32" s="14" t="inlineStr">
        <is>
          <t>Materials</t>
        </is>
      </c>
      <c r="C32" s="14" t="inlineStr">
        <is>
          <t>Kairis - Ytong + glue (storage walls)</t>
        </is>
      </c>
      <c r="D32" s="14" t="inlineStr">
        <is>
          <t>Kairis</t>
        </is>
      </c>
      <c r="E32" s="15" t="n">
        <v>2216</v>
      </c>
      <c r="F32" s="16" t="inlineStr">
        <is>
          <t>cash</t>
        </is>
      </c>
      <c r="G32" s="16" t="inlineStr">
        <is>
          <t>Yes</t>
        </is>
      </c>
      <c r="H32" s="17" t="inlineStr">
        <is>
          <t>Paid</t>
        </is>
      </c>
      <c r="I32" s="14" t="inlineStr">
        <is>
          <t>2026-03-16</t>
        </is>
      </c>
    </row>
    <row r="33">
      <c r="A33" s="14" t="inlineStr">
        <is>
          <t>2026-05-07</t>
        </is>
      </c>
      <c r="B33" s="14" t="inlineStr">
        <is>
          <t>Legal/Admin</t>
        </is>
      </c>
      <c r="C33" s="14" t="inlineStr">
        <is>
          <t>Workers insurance Jan-Feb (60 work-days)</t>
        </is>
      </c>
      <c r="D33" s="14" t="inlineStr">
        <is>
          <t>EFKA</t>
        </is>
      </c>
      <c r="E33" s="15" t="n">
        <v>2200</v>
      </c>
      <c r="F33" s="16" t="inlineStr">
        <is>
          <t>cash</t>
        </is>
      </c>
      <c r="G33" s="16" t="inlineStr">
        <is>
          <t>Yes</t>
        </is>
      </c>
      <c r="H33" s="17" t="inlineStr">
        <is>
          <t>Paid</t>
        </is>
      </c>
      <c r="I33" s="14" t="inlineStr">
        <is>
          <t>2026-05-07</t>
        </is>
      </c>
    </row>
    <row r="34">
      <c r="A34" s="14" t="inlineStr">
        <is>
          <t>2026-03-21</t>
        </is>
      </c>
      <c r="B34" s="14" t="inlineStr">
        <is>
          <t>Materials</t>
        </is>
      </c>
      <c r="C34" s="14" t="inlineStr">
        <is>
          <t>Kairis - roof insul/steel/fiberboard (adv.)</t>
        </is>
      </c>
      <c r="D34" s="14" t="inlineStr">
        <is>
          <t>Kairis</t>
        </is>
      </c>
      <c r="E34" s="15" t="n">
        <v>500</v>
      </c>
      <c r="F34" s="16" t="inlineStr">
        <is>
          <t>cash</t>
        </is>
      </c>
      <c r="G34" s="16" t="inlineStr">
        <is>
          <t>Yes</t>
        </is>
      </c>
      <c r="H34" s="17" t="inlineStr">
        <is>
          <t>Paid</t>
        </is>
      </c>
      <c r="I34" s="14" t="inlineStr">
        <is>
          <t>2026-03-21</t>
        </is>
      </c>
    </row>
    <row r="35">
      <c r="A35" s="14" t="inlineStr">
        <is>
          <t>2026-03-21</t>
        </is>
      </c>
      <c r="B35" s="14" t="inlineStr">
        <is>
          <t>Labour</t>
        </is>
      </c>
      <c r="C35" s="14" t="inlineStr">
        <is>
          <t>Team leader (5 days)</t>
        </is>
      </c>
      <c r="D35" s="14" t="inlineStr">
        <is>
          <t>Meli</t>
        </is>
      </c>
      <c r="E35" s="15" t="n">
        <v>400</v>
      </c>
      <c r="F35" s="16" t="inlineStr">
        <is>
          <t>cash</t>
        </is>
      </c>
      <c r="G35" s="16" t="inlineStr">
        <is>
          <t>Yes</t>
        </is>
      </c>
      <c r="H35" s="17" t="inlineStr">
        <is>
          <t>Paid</t>
        </is>
      </c>
      <c r="I35" s="14" t="inlineStr">
        <is>
          <t>2026-03-21</t>
        </is>
      </c>
    </row>
    <row r="36">
      <c r="A36" s="14" t="inlineStr">
        <is>
          <t>2026-03-21</t>
        </is>
      </c>
      <c r="B36" s="14" t="inlineStr">
        <is>
          <t>Labour</t>
        </is>
      </c>
      <c r="C36" s="14" t="inlineStr">
        <is>
          <t>Workers (6 worker-days)</t>
        </is>
      </c>
      <c r="D36" s="14" t="inlineStr">
        <is>
          <t>Workers</t>
        </is>
      </c>
      <c r="E36" s="15" t="n">
        <v>300</v>
      </c>
      <c r="F36" s="16" t="inlineStr">
        <is>
          <t>cash</t>
        </is>
      </c>
      <c r="G36" s="16" t="inlineStr">
        <is>
          <t>Yes</t>
        </is>
      </c>
      <c r="H36" s="17" t="inlineStr">
        <is>
          <t>Paid</t>
        </is>
      </c>
      <c r="I36" s="14" t="inlineStr">
        <is>
          <t>2026-03-21</t>
        </is>
      </c>
    </row>
    <row r="37">
      <c r="A37" s="14" t="inlineStr">
        <is>
          <t>2026-03-21</t>
        </is>
      </c>
      <c r="B37" s="14" t="inlineStr">
        <is>
          <t>Legal/Admin</t>
        </is>
      </c>
      <c r="C37" s="14" t="inlineStr">
        <is>
          <t>Greek SIM (Kobi)</t>
        </is>
      </c>
      <c r="D37" s="14" t="inlineStr">
        <is>
          <t>Zoe</t>
        </is>
      </c>
      <c r="E37" s="15" t="n">
        <v>50</v>
      </c>
      <c r="F37" s="16" t="inlineStr">
        <is>
          <t>cash</t>
        </is>
      </c>
      <c r="G37" s="16" t="inlineStr">
        <is>
          <t>Yes</t>
        </is>
      </c>
      <c r="H37" s="17" t="inlineStr">
        <is>
          <t>Paid</t>
        </is>
      </c>
      <c r="I37" s="14" t="inlineStr">
        <is>
          <t>2026-03-21</t>
        </is>
      </c>
    </row>
    <row r="38">
      <c r="A38" s="14" t="inlineStr">
        <is>
          <t>2026-03-21</t>
        </is>
      </c>
      <c r="B38" s="14" t="inlineStr">
        <is>
          <t>Materials</t>
        </is>
      </c>
      <c r="C38" s="14" t="inlineStr">
        <is>
          <t>Glass bricks - storage</t>
        </is>
      </c>
      <c r="D38" s="14" t="inlineStr">
        <is>
          <t>Supplier</t>
        </is>
      </c>
      <c r="E38" s="15" t="n">
        <v>75</v>
      </c>
      <c r="F38" s="16" t="inlineStr">
        <is>
          <t>cash</t>
        </is>
      </c>
      <c r="G38" s="16" t="inlineStr">
        <is>
          <t>Yes</t>
        </is>
      </c>
      <c r="H38" s="17" t="inlineStr">
        <is>
          <t>Paid</t>
        </is>
      </c>
      <c r="I38" s="14" t="inlineStr">
        <is>
          <t>2026-03-21</t>
        </is>
      </c>
    </row>
    <row r="39">
      <c r="A39" s="14" t="inlineStr">
        <is>
          <t>2026-03-21</t>
        </is>
      </c>
      <c r="B39" s="14" t="inlineStr">
        <is>
          <t>Landscaping</t>
        </is>
      </c>
      <c r="C39" s="14" t="inlineStr">
        <is>
          <t>Gardener (Mar-Apr)</t>
        </is>
      </c>
      <c r="D39" s="14" t="inlineStr">
        <is>
          <t>Gardener</t>
        </is>
      </c>
      <c r="E39" s="15" t="n">
        <v>200</v>
      </c>
      <c r="F39" s="16" t="inlineStr">
        <is>
          <t>cash</t>
        </is>
      </c>
      <c r="G39" s="16" t="inlineStr">
        <is>
          <t>Yes</t>
        </is>
      </c>
      <c r="H39" s="17" t="inlineStr">
        <is>
          <t>Paid</t>
        </is>
      </c>
      <c r="I39" s="14" t="inlineStr">
        <is>
          <t>2026-03-21</t>
        </is>
      </c>
    </row>
    <row r="40">
      <c r="A40" s="14" t="inlineStr">
        <is>
          <t>2026-03-28</t>
        </is>
      </c>
      <c r="B40" s="14" t="inlineStr">
        <is>
          <t>Materials</t>
        </is>
      </c>
      <c r="C40" s="14" t="inlineStr">
        <is>
          <t>Kairis - internal walls 1F (bricks/steel/sand)</t>
        </is>
      </c>
      <c r="D40" s="14" t="inlineStr">
        <is>
          <t>Kairis</t>
        </is>
      </c>
      <c r="E40" s="15" t="n">
        <v>2950</v>
      </c>
      <c r="F40" s="16" t="inlineStr">
        <is>
          <t>cash</t>
        </is>
      </c>
      <c r="G40" s="16" t="inlineStr">
        <is>
          <t>Yes</t>
        </is>
      </c>
      <c r="H40" s="17" t="inlineStr">
        <is>
          <t>Paid</t>
        </is>
      </c>
      <c r="I40" s="14" t="inlineStr">
        <is>
          <t>2026-03-28</t>
        </is>
      </c>
    </row>
    <row r="41">
      <c r="A41" s="14" t="inlineStr">
        <is>
          <t>2026-03-28</t>
        </is>
      </c>
      <c r="B41" s="14" t="inlineStr">
        <is>
          <t>Labour</t>
        </is>
      </c>
      <c r="C41" s="14" t="inlineStr">
        <is>
          <t>Team leader (3 days)</t>
        </is>
      </c>
      <c r="D41" s="14" t="inlineStr">
        <is>
          <t>Meli</t>
        </is>
      </c>
      <c r="E41" s="15" t="n">
        <v>240</v>
      </c>
      <c r="F41" s="16" t="inlineStr">
        <is>
          <t>cash</t>
        </is>
      </c>
      <c r="G41" s="16" t="inlineStr">
        <is>
          <t>Yes</t>
        </is>
      </c>
      <c r="H41" s="17" t="inlineStr">
        <is>
          <t>Paid</t>
        </is>
      </c>
      <c r="I41" s="14" t="inlineStr">
        <is>
          <t>2026-03-28</t>
        </is>
      </c>
    </row>
    <row r="42">
      <c r="A42" s="14" t="inlineStr">
        <is>
          <t>2026-03-28</t>
        </is>
      </c>
      <c r="B42" s="14" t="inlineStr">
        <is>
          <t>Labour</t>
        </is>
      </c>
      <c r="C42" s="14" t="inlineStr">
        <is>
          <t>Workers (6 worker-days)</t>
        </is>
      </c>
      <c r="D42" s="14" t="inlineStr">
        <is>
          <t>Workers</t>
        </is>
      </c>
      <c r="E42" s="15" t="n">
        <v>300</v>
      </c>
      <c r="F42" s="16" t="inlineStr">
        <is>
          <t>cash</t>
        </is>
      </c>
      <c r="G42" s="16" t="inlineStr">
        <is>
          <t>Yes</t>
        </is>
      </c>
      <c r="H42" s="17" t="inlineStr">
        <is>
          <t>Paid</t>
        </is>
      </c>
      <c r="I42" s="14" t="inlineStr">
        <is>
          <t>2026-03-28</t>
        </is>
      </c>
    </row>
    <row r="43">
      <c r="A43" s="14" t="inlineStr">
        <is>
          <t>2026-04-04</t>
        </is>
      </c>
      <c r="B43" s="14" t="inlineStr">
        <is>
          <t>Labour</t>
        </is>
      </c>
      <c r="C43" s="14" t="inlineStr">
        <is>
          <t>Brick workers - first floor</t>
        </is>
      </c>
      <c r="D43" s="14" t="inlineStr">
        <is>
          <t>Workers</t>
        </is>
      </c>
      <c r="E43" s="15" t="n">
        <v>930</v>
      </c>
      <c r="F43" s="16" t="inlineStr">
        <is>
          <t>cash</t>
        </is>
      </c>
      <c r="G43" s="16" t="inlineStr">
        <is>
          <t>Yes</t>
        </is>
      </c>
      <c r="H43" s="17" t="inlineStr">
        <is>
          <t>Paid</t>
        </is>
      </c>
      <c r="I43" s="14" t="inlineStr">
        <is>
          <t>2026-04-04</t>
        </is>
      </c>
    </row>
    <row r="44">
      <c r="A44" s="14" t="inlineStr">
        <is>
          <t>2026-04-07</t>
        </is>
      </c>
      <c r="B44" s="14" t="inlineStr">
        <is>
          <t>Landscaping</t>
        </is>
      </c>
      <c r="C44" s="14" t="inlineStr">
        <is>
          <t>Gardener pipes/hoses</t>
        </is>
      </c>
      <c r="D44" s="14" t="inlineStr">
        <is>
          <t>Gardener</t>
        </is>
      </c>
      <c r="E44" s="15" t="n">
        <v>100</v>
      </c>
      <c r="F44" s="16" t="inlineStr">
        <is>
          <t>cash</t>
        </is>
      </c>
      <c r="G44" s="16" t="inlineStr">
        <is>
          <t>Yes</t>
        </is>
      </c>
      <c r="H44" s="17" t="inlineStr">
        <is>
          <t>Paid</t>
        </is>
      </c>
      <c r="I44" s="14" t="inlineStr">
        <is>
          <t>2026-04-07</t>
        </is>
      </c>
    </row>
    <row r="45">
      <c r="A45" s="14" t="inlineStr">
        <is>
          <t>2026-04-07</t>
        </is>
      </c>
      <c r="B45" s="14" t="inlineStr">
        <is>
          <t>Roof</t>
        </is>
      </c>
      <c r="C45" s="14" t="inlineStr">
        <is>
          <t>Kairis - large storage roof materials</t>
        </is>
      </c>
      <c r="D45" s="14" t="inlineStr">
        <is>
          <t>Kairis</t>
        </is>
      </c>
      <c r="E45" s="15" t="n">
        <v>1350</v>
      </c>
      <c r="F45" s="16" t="inlineStr">
        <is>
          <t>cash</t>
        </is>
      </c>
      <c r="G45" s="16" t="inlineStr">
        <is>
          <t>Yes</t>
        </is>
      </c>
      <c r="H45" s="17" t="inlineStr">
        <is>
          <t>Paid</t>
        </is>
      </c>
      <c r="I45" s="14" t="inlineStr">
        <is>
          <t>2026-04-07</t>
        </is>
      </c>
    </row>
    <row r="46">
      <c r="A46" s="14" t="inlineStr">
        <is>
          <t>2026-04-07</t>
        </is>
      </c>
      <c r="B46" s="14" t="inlineStr">
        <is>
          <t>Plumbing</t>
        </is>
      </c>
      <c r="C46" s="14" t="inlineStr">
        <is>
          <t>Plumbing pipes floor1+storage (card part)</t>
        </is>
      </c>
      <c r="D46" s="14" t="inlineStr">
        <is>
          <t>Supplier</t>
        </is>
      </c>
      <c r="E46" s="15" t="n">
        <v>1140</v>
      </c>
      <c r="F46" s="16" t="inlineStr">
        <is>
          <t>NBG card</t>
        </is>
      </c>
      <c r="G46" s="16" t="inlineStr">
        <is>
          <t>Yes</t>
        </is>
      </c>
      <c r="H46" s="17" t="inlineStr">
        <is>
          <t>Paid</t>
        </is>
      </c>
      <c r="I46" s="14" t="inlineStr">
        <is>
          <t>2026-04-07</t>
        </is>
      </c>
    </row>
    <row r="47">
      <c r="A47" s="14" t="inlineStr">
        <is>
          <t>2026-04-07</t>
        </is>
      </c>
      <c r="B47" s="14" t="inlineStr">
        <is>
          <t>Plumbing</t>
        </is>
      </c>
      <c r="C47" s="14" t="inlineStr">
        <is>
          <t>Plumbing pipes floor1+storage (cash part)</t>
        </is>
      </c>
      <c r="D47" s="14" t="inlineStr">
        <is>
          <t>Supplier</t>
        </is>
      </c>
      <c r="E47" s="15" t="n">
        <v>660</v>
      </c>
      <c r="F47" s="16" t="inlineStr">
        <is>
          <t>cash</t>
        </is>
      </c>
      <c r="G47" s="16" t="inlineStr">
        <is>
          <t>Yes</t>
        </is>
      </c>
      <c r="H47" s="17" t="inlineStr">
        <is>
          <t>Paid</t>
        </is>
      </c>
      <c r="I47" s="14" t="inlineStr">
        <is>
          <t>2026-04-07</t>
        </is>
      </c>
    </row>
    <row r="48">
      <c r="A48" s="14" t="inlineStr">
        <is>
          <t>2026-04-09</t>
        </is>
      </c>
      <c r="B48" s="14" t="inlineStr">
        <is>
          <t>Plumbing</t>
        </is>
      </c>
      <c r="C48" s="14" t="inlineStr">
        <is>
          <t>Plumber advance #1</t>
        </is>
      </c>
      <c r="D48" s="14" t="inlineStr">
        <is>
          <t>Plumber</t>
        </is>
      </c>
      <c r="E48" s="15" t="n">
        <v>1000</v>
      </c>
      <c r="F48" s="16" t="inlineStr">
        <is>
          <t>cash</t>
        </is>
      </c>
      <c r="G48" s="16" t="inlineStr">
        <is>
          <t>Yes</t>
        </is>
      </c>
      <c r="H48" s="17" t="inlineStr">
        <is>
          <t>Paid</t>
        </is>
      </c>
      <c r="I48" s="14" t="inlineStr">
        <is>
          <t>2026-04-09</t>
        </is>
      </c>
    </row>
    <row r="49">
      <c r="A49" s="14" t="inlineStr">
        <is>
          <t>2026-04-21</t>
        </is>
      </c>
      <c r="B49" s="14" t="inlineStr">
        <is>
          <t>Plumbing</t>
        </is>
      </c>
      <c r="C49" s="14" t="inlineStr">
        <is>
          <t>Additional plumbing materials</t>
        </is>
      </c>
      <c r="D49" s="14" t="inlineStr">
        <is>
          <t>Supplier</t>
        </is>
      </c>
      <c r="E49" s="15" t="n">
        <v>660</v>
      </c>
      <c r="F49" s="16" t="inlineStr">
        <is>
          <t>cash</t>
        </is>
      </c>
      <c r="G49" s="16" t="inlineStr">
        <is>
          <t>Yes</t>
        </is>
      </c>
      <c r="H49" s="17" t="inlineStr">
        <is>
          <t>Paid</t>
        </is>
      </c>
      <c r="I49" s="14" t="inlineStr">
        <is>
          <t>2026-04-21</t>
        </is>
      </c>
    </row>
    <row r="50">
      <c r="A50" s="14" t="inlineStr">
        <is>
          <t>2026-04-21</t>
        </is>
      </c>
      <c r="B50" s="14" t="inlineStr">
        <is>
          <t>Materials</t>
        </is>
      </c>
      <c r="C50" s="14" t="inlineStr">
        <is>
          <t>Storage insulation materials</t>
        </is>
      </c>
      <c r="D50" s="14" t="inlineStr">
        <is>
          <t>Kairis</t>
        </is>
      </c>
      <c r="E50" s="15" t="n">
        <v>1600</v>
      </c>
      <c r="F50" s="16" t="inlineStr">
        <is>
          <t>cash</t>
        </is>
      </c>
      <c r="G50" s="16" t="inlineStr">
        <is>
          <t>Yes</t>
        </is>
      </c>
      <c r="H50" s="17" t="inlineStr">
        <is>
          <t>Paid</t>
        </is>
      </c>
      <c r="I50" s="14" t="inlineStr">
        <is>
          <t>2026-04-21</t>
        </is>
      </c>
    </row>
    <row r="51">
      <c r="A51" s="14" t="inlineStr">
        <is>
          <t>2026-04-28</t>
        </is>
      </c>
      <c r="B51" s="14" t="inlineStr">
        <is>
          <t>Labour</t>
        </is>
      </c>
      <c r="C51" s="14" t="inlineStr">
        <is>
          <t>Team leader (8 days) - storage+house</t>
        </is>
      </c>
      <c r="D51" s="14" t="inlineStr">
        <is>
          <t>Meli</t>
        </is>
      </c>
      <c r="E51" s="15" t="n">
        <v>640</v>
      </c>
      <c r="F51" s="16" t="inlineStr">
        <is>
          <t>cash</t>
        </is>
      </c>
      <c r="G51" s="16" t="inlineStr">
        <is>
          <t>Yes</t>
        </is>
      </c>
      <c r="H51" s="17" t="inlineStr">
        <is>
          <t>Paid</t>
        </is>
      </c>
      <c r="I51" s="14" t="inlineStr">
        <is>
          <t>2026-04-28</t>
        </is>
      </c>
    </row>
    <row r="52">
      <c r="A52" s="14" t="inlineStr">
        <is>
          <t>2026-04-28</t>
        </is>
      </c>
      <c r="B52" s="14" t="inlineStr">
        <is>
          <t>Labour</t>
        </is>
      </c>
      <c r="C52" s="14" t="inlineStr">
        <is>
          <t>Workers (13 worker-days)</t>
        </is>
      </c>
      <c r="D52" s="14" t="inlineStr">
        <is>
          <t>Workers</t>
        </is>
      </c>
      <c r="E52" s="15" t="n">
        <v>650</v>
      </c>
      <c r="F52" s="16" t="inlineStr">
        <is>
          <t>cash</t>
        </is>
      </c>
      <c r="G52" s="16" t="inlineStr">
        <is>
          <t>Yes</t>
        </is>
      </c>
      <c r="H52" s="17" t="inlineStr">
        <is>
          <t>Paid</t>
        </is>
      </c>
      <c r="I52" s="14" t="inlineStr">
        <is>
          <t>2026-04-28</t>
        </is>
      </c>
    </row>
    <row r="53">
      <c r="A53" s="14" t="inlineStr">
        <is>
          <t>2026-04-30</t>
        </is>
      </c>
      <c r="B53" s="14" t="inlineStr">
        <is>
          <t>Plumbing</t>
        </is>
      </c>
      <c r="C53" s="14" t="inlineStr">
        <is>
          <t>Plumber advance #2 - additional work</t>
        </is>
      </c>
      <c r="D53" s="14" t="inlineStr">
        <is>
          <t>Plumber</t>
        </is>
      </c>
      <c r="E53" s="15" t="n">
        <v>1000</v>
      </c>
      <c r="F53" s="16" t="inlineStr">
        <is>
          <t>cash</t>
        </is>
      </c>
      <c r="G53" s="16" t="inlineStr">
        <is>
          <t>Yes</t>
        </is>
      </c>
      <c r="H53" s="17" t="inlineStr">
        <is>
          <t>Paid</t>
        </is>
      </c>
      <c r="I53" s="14" t="inlineStr">
        <is>
          <t>2026-04-30</t>
        </is>
      </c>
    </row>
    <row r="54">
      <c r="A54" s="14" t="inlineStr">
        <is>
          <t>2026-05-10</t>
        </is>
      </c>
      <c r="B54" s="14" t="inlineStr">
        <is>
          <t>Labour</t>
        </is>
      </c>
      <c r="C54" s="14" t="inlineStr">
        <is>
          <t>Team leader (8 days) - back gate/small storage</t>
        </is>
      </c>
      <c r="D54" s="14" t="inlineStr">
        <is>
          <t>Meli</t>
        </is>
      </c>
      <c r="E54" s="15" t="n">
        <v>640</v>
      </c>
      <c r="F54" s="16" t="inlineStr">
        <is>
          <t>cash</t>
        </is>
      </c>
      <c r="G54" s="16" t="inlineStr">
        <is>
          <t>Yes</t>
        </is>
      </c>
      <c r="H54" s="17" t="inlineStr">
        <is>
          <t>Paid</t>
        </is>
      </c>
      <c r="I54" s="14" t="inlineStr">
        <is>
          <t>2026-05-10</t>
        </is>
      </c>
    </row>
    <row r="55">
      <c r="A55" s="14" t="inlineStr">
        <is>
          <t>2026-05-10</t>
        </is>
      </c>
      <c r="B55" s="14" t="inlineStr">
        <is>
          <t>Labour</t>
        </is>
      </c>
      <c r="C55" s="14" t="inlineStr">
        <is>
          <t>Workers (16 worker-days)</t>
        </is>
      </c>
      <c r="D55" s="14" t="inlineStr">
        <is>
          <t>Workers</t>
        </is>
      </c>
      <c r="E55" s="15" t="n">
        <v>800</v>
      </c>
      <c r="F55" s="16" t="inlineStr">
        <is>
          <t>cash</t>
        </is>
      </c>
      <c r="G55" s="16" t="inlineStr">
        <is>
          <t>Yes</t>
        </is>
      </c>
      <c r="H55" s="17" t="inlineStr">
        <is>
          <t>Paid</t>
        </is>
      </c>
      <c r="I55" s="14" t="inlineStr">
        <is>
          <t>2026-05-10</t>
        </is>
      </c>
    </row>
    <row r="56">
      <c r="A56" s="14" t="inlineStr">
        <is>
          <t>2026-05-10</t>
        </is>
      </c>
      <c r="B56" s="14" t="inlineStr">
        <is>
          <t>Fuel</t>
        </is>
      </c>
      <c r="C56" s="14" t="inlineStr">
        <is>
          <t>Fuel - cement mixer</t>
        </is>
      </c>
      <c r="D56" s="14" t="inlineStr">
        <is>
          <t>Gas station</t>
        </is>
      </c>
      <c r="E56" s="15" t="n">
        <v>30</v>
      </c>
      <c r="F56" s="16" t="inlineStr">
        <is>
          <t>cash</t>
        </is>
      </c>
      <c r="G56" s="16" t="inlineStr">
        <is>
          <t>Yes</t>
        </is>
      </c>
      <c r="H56" s="17" t="inlineStr">
        <is>
          <t>Paid</t>
        </is>
      </c>
      <c r="I56" s="14" t="inlineStr">
        <is>
          <t>2026-05-10</t>
        </is>
      </c>
    </row>
    <row r="57">
      <c r="A57" s="14" t="inlineStr">
        <is>
          <t>2026-05-10</t>
        </is>
      </c>
      <c r="B57" s="14" t="inlineStr">
        <is>
          <t>Windows/Iron</t>
        </is>
      </c>
      <c r="C57" s="14" t="inlineStr">
        <is>
          <t>Advance - ironworker (large storage door)</t>
        </is>
      </c>
      <c r="D57" s="14" t="inlineStr">
        <is>
          <t>Blacksmith</t>
        </is>
      </c>
      <c r="E57" s="15" t="n">
        <v>350</v>
      </c>
      <c r="F57" s="16" t="inlineStr">
        <is>
          <t>cash</t>
        </is>
      </c>
      <c r="G57" s="16" t="inlineStr">
        <is>
          <t>Yes</t>
        </is>
      </c>
      <c r="H57" s="17" t="inlineStr">
        <is>
          <t>Paid</t>
        </is>
      </c>
      <c r="I57" s="14" t="inlineStr">
        <is>
          <t>2026-05-10</t>
        </is>
      </c>
    </row>
    <row r="58">
      <c r="A58" s="14" t="inlineStr">
        <is>
          <t>2026-05-10</t>
        </is>
      </c>
      <c r="B58" s="14" t="inlineStr">
        <is>
          <t>Legal/Admin</t>
        </is>
      </c>
      <c r="C58" s="14" t="inlineStr">
        <is>
          <t>Workers social security (remaining)</t>
        </is>
      </c>
      <c r="D58" s="14" t="inlineStr">
        <is>
          <t>EFKA</t>
        </is>
      </c>
      <c r="E58" s="15" t="n">
        <v>200</v>
      </c>
      <c r="F58" s="16" t="inlineStr">
        <is>
          <t>cash</t>
        </is>
      </c>
      <c r="G58" s="16" t="inlineStr">
        <is>
          <t>Yes</t>
        </is>
      </c>
      <c r="H58" s="17" t="inlineStr">
        <is>
          <t>Paid</t>
        </is>
      </c>
      <c r="I58" s="14" t="inlineStr">
        <is>
          <t>2026-05-10</t>
        </is>
      </c>
    </row>
    <row r="59">
      <c r="A59" s="14" t="inlineStr">
        <is>
          <t>2026-05-10</t>
        </is>
      </c>
      <c r="B59" s="14" t="inlineStr">
        <is>
          <t>Materials</t>
        </is>
      </c>
      <c r="C59" s="14" t="inlineStr">
        <is>
          <t>Kairis - forms/iron/cement/coat/lime</t>
        </is>
      </c>
      <c r="D59" s="14" t="inlineStr">
        <is>
          <t>Kairis</t>
        </is>
      </c>
      <c r="E59" s="15" t="n">
        <v>1750</v>
      </c>
      <c r="F59" s="16" t="inlineStr">
        <is>
          <t>cash</t>
        </is>
      </c>
      <c r="G59" s="16" t="inlineStr">
        <is>
          <t>Yes</t>
        </is>
      </c>
      <c r="H59" s="17" t="inlineStr">
        <is>
          <t>Paid</t>
        </is>
      </c>
      <c r="I59" s="14" t="inlineStr">
        <is>
          <t>2026-05-10</t>
        </is>
      </c>
    </row>
    <row r="60">
      <c r="A60" s="14" t="inlineStr">
        <is>
          <t>2026-05-09</t>
        </is>
      </c>
      <c r="B60" s="14" t="inlineStr">
        <is>
          <t>Materials</t>
        </is>
      </c>
      <c r="C60" s="14" t="inlineStr">
        <is>
          <t>Amanatidis - extra materials</t>
        </is>
      </c>
      <c r="D60" s="14" t="inlineStr">
        <is>
          <t>Amanatidis</t>
        </is>
      </c>
      <c r="E60" s="15" t="n">
        <v>205.75</v>
      </c>
      <c r="F60" s="16" t="inlineStr">
        <is>
          <t>NBG card</t>
        </is>
      </c>
      <c r="G60" s="16" t="inlineStr">
        <is>
          <t>Yes</t>
        </is>
      </c>
      <c r="H60" s="17" t="inlineStr">
        <is>
          <t>Paid</t>
        </is>
      </c>
      <c r="I60" s="14" t="inlineStr">
        <is>
          <t>2026-05-09</t>
        </is>
      </c>
    </row>
    <row r="61">
      <c r="A61" s="14" t="inlineStr">
        <is>
          <t>2026-03-23</t>
        </is>
      </c>
      <c r="B61" s="14" t="inlineStr">
        <is>
          <t>Materials</t>
        </is>
      </c>
      <c r="C61" s="14" t="inlineStr">
        <is>
          <t>Amanatidis - materials</t>
        </is>
      </c>
      <c r="D61" s="14" t="inlineStr">
        <is>
          <t>Amanatidis</t>
        </is>
      </c>
      <c r="E61" s="15" t="n">
        <v>87.02</v>
      </c>
      <c r="F61" s="16" t="inlineStr">
        <is>
          <t>NBG card</t>
        </is>
      </c>
      <c r="G61" s="16" t="inlineStr">
        <is>
          <t>Yes</t>
        </is>
      </c>
      <c r="H61" s="17" t="inlineStr">
        <is>
          <t>Paid</t>
        </is>
      </c>
      <c r="I61" s="14" t="inlineStr">
        <is>
          <t>2026-03-23</t>
        </is>
      </c>
    </row>
    <row r="62">
      <c r="A62" s="14" t="inlineStr">
        <is>
          <t>2026-05-16</t>
        </is>
      </c>
      <c r="B62" s="14" t="inlineStr">
        <is>
          <t>Windows/Iron</t>
        </is>
      </c>
      <c r="C62" s="14" t="inlineStr">
        <is>
          <t>Old front gate repair + wheels</t>
        </is>
      </c>
      <c r="D62" s="14" t="inlineStr">
        <is>
          <t>Blacksmith</t>
        </is>
      </c>
      <c r="E62" s="15" t="n">
        <v>50</v>
      </c>
      <c r="F62" s="16" t="inlineStr">
        <is>
          <t>cash</t>
        </is>
      </c>
      <c r="G62" s="16" t="inlineStr">
        <is>
          <t>Yes</t>
        </is>
      </c>
      <c r="H62" s="17" t="inlineStr">
        <is>
          <t>Paid</t>
        </is>
      </c>
      <c r="I62" s="14" t="inlineStr">
        <is>
          <t>2026-05-16</t>
        </is>
      </c>
    </row>
    <row r="63">
      <c r="A63" s="14" t="inlineStr">
        <is>
          <t>2026-05-16</t>
        </is>
      </c>
      <c r="B63" s="14" t="inlineStr">
        <is>
          <t>Plumbing</t>
        </is>
      </c>
      <c r="C63" s="14" t="inlineStr">
        <is>
          <t>Plumber payment #3</t>
        </is>
      </c>
      <c r="D63" s="14" t="inlineStr">
        <is>
          <t>Plumber</t>
        </is>
      </c>
      <c r="E63" s="15" t="n">
        <v>500</v>
      </c>
      <c r="F63" s="16" t="inlineStr">
        <is>
          <t>cash</t>
        </is>
      </c>
      <c r="G63" s="16" t="inlineStr">
        <is>
          <t>Yes</t>
        </is>
      </c>
      <c r="H63" s="17" t="inlineStr">
        <is>
          <t>Paid</t>
        </is>
      </c>
      <c r="I63" s="14" t="inlineStr">
        <is>
          <t>2026-05-16</t>
        </is>
      </c>
    </row>
    <row r="64">
      <c r="A64" s="14" t="inlineStr">
        <is>
          <t>2026-05-16</t>
        </is>
      </c>
      <c r="B64" s="14" t="inlineStr">
        <is>
          <t>Roof</t>
        </is>
      </c>
      <c r="C64" s="14" t="inlineStr">
        <is>
          <t>Kairis - 3F panels+small-storage roof+Ytong+coat</t>
        </is>
      </c>
      <c r="D64" s="14" t="inlineStr">
        <is>
          <t>Kairis</t>
        </is>
      </c>
      <c r="E64" s="15" t="n">
        <v>2875</v>
      </c>
      <c r="F64" s="16" t="inlineStr">
        <is>
          <t>cash</t>
        </is>
      </c>
      <c r="G64" s="16" t="inlineStr">
        <is>
          <t>Yes</t>
        </is>
      </c>
      <c r="H64" s="17" t="inlineStr">
        <is>
          <t>Paid</t>
        </is>
      </c>
      <c r="I64" s="14" t="inlineStr">
        <is>
          <t>2026-05-16</t>
        </is>
      </c>
    </row>
    <row r="65">
      <c r="A65" s="14" t="inlineStr">
        <is>
          <t>2026-05-16</t>
        </is>
      </c>
      <c r="B65" s="14" t="inlineStr">
        <is>
          <t>Electrical</t>
        </is>
      </c>
      <c r="C65" s="14" t="inlineStr">
        <is>
          <t>Electrician advance - Apt B conduits</t>
        </is>
      </c>
      <c r="D65" s="14" t="inlineStr">
        <is>
          <t>Electrician</t>
        </is>
      </c>
      <c r="E65" s="15" t="n">
        <v>400</v>
      </c>
      <c r="F65" s="16" t="inlineStr">
        <is>
          <t>cash</t>
        </is>
      </c>
      <c r="G65" s="16" t="inlineStr">
        <is>
          <t>Yes</t>
        </is>
      </c>
      <c r="H65" s="17" t="inlineStr">
        <is>
          <t>Paid</t>
        </is>
      </c>
      <c r="I65" s="14" t="inlineStr">
        <is>
          <t>2026-05-16</t>
        </is>
      </c>
    </row>
    <row r="66">
      <c r="A66" s="14" t="inlineStr">
        <is>
          <t>2026-05-16</t>
        </is>
      </c>
      <c r="B66" s="14" t="inlineStr">
        <is>
          <t>Labour</t>
        </is>
      </c>
      <c r="C66" s="14" t="inlineStr">
        <is>
          <t>Team leader (6 days)</t>
        </is>
      </c>
      <c r="D66" s="14" t="inlineStr">
        <is>
          <t>Meli</t>
        </is>
      </c>
      <c r="E66" s="15" t="n">
        <v>480</v>
      </c>
      <c r="F66" s="16" t="inlineStr">
        <is>
          <t>cash</t>
        </is>
      </c>
      <c r="G66" s="16" t="inlineStr">
        <is>
          <t>Yes</t>
        </is>
      </c>
      <c r="H66" s="17" t="inlineStr">
        <is>
          <t>Paid</t>
        </is>
      </c>
      <c r="I66" s="14" t="inlineStr">
        <is>
          <t>2026-05-16</t>
        </is>
      </c>
    </row>
    <row r="67">
      <c r="A67" s="14" t="inlineStr">
        <is>
          <t>2026-05-16</t>
        </is>
      </c>
      <c r="B67" s="14" t="inlineStr">
        <is>
          <t>Labour</t>
        </is>
      </c>
      <c r="C67" s="14" t="inlineStr">
        <is>
          <t>Workers (16 worker-days)</t>
        </is>
      </c>
      <c r="D67" s="14" t="inlineStr">
        <is>
          <t>Workers</t>
        </is>
      </c>
      <c r="E67" s="15" t="n">
        <v>800</v>
      </c>
      <c r="F67" s="16" t="inlineStr">
        <is>
          <t>cash</t>
        </is>
      </c>
      <c r="G67" s="16" t="inlineStr">
        <is>
          <t>Yes</t>
        </is>
      </c>
      <c r="H67" s="17" t="inlineStr">
        <is>
          <t>Paid</t>
        </is>
      </c>
      <c r="I67" s="14" t="inlineStr">
        <is>
          <t>2026-05-16</t>
        </is>
      </c>
    </row>
    <row r="68">
      <c r="A68" s="14" t="inlineStr">
        <is>
          <t>2026-05-23</t>
        </is>
      </c>
      <c r="B68" s="14" t="inlineStr">
        <is>
          <t>Windows/Iron</t>
        </is>
      </c>
      <c r="C68" s="14" t="inlineStr">
        <is>
          <t>Aluminium inner door+window - large storage (TECHNICAL)</t>
        </is>
      </c>
      <c r="D68" s="14" t="inlineStr">
        <is>
          <t>TECHNICAL</t>
        </is>
      </c>
      <c r="E68" s="15" t="n">
        <v>1150</v>
      </c>
      <c r="F68" s="16" t="inlineStr">
        <is>
          <t>NBG card</t>
        </is>
      </c>
      <c r="G68" s="16" t="inlineStr">
        <is>
          <t>Yes</t>
        </is>
      </c>
      <c r="H68" s="17" t="inlineStr">
        <is>
          <t>Paid</t>
        </is>
      </c>
      <c r="I68" s="14" t="inlineStr">
        <is>
          <t>2026-05-23</t>
        </is>
      </c>
    </row>
    <row r="69">
      <c r="A69" s="14" t="inlineStr">
        <is>
          <t>2026-05-23</t>
        </is>
      </c>
      <c r="B69" s="14" t="inlineStr">
        <is>
          <t>Labour</t>
        </is>
      </c>
      <c r="C69" s="14" t="inlineStr">
        <is>
          <t>Workers (18 wd) week May19-23</t>
        </is>
      </c>
      <c r="D69" s="14" t="inlineStr">
        <is>
          <t>Workers</t>
        </is>
      </c>
      <c r="E69" s="15" t="n">
        <v>900</v>
      </c>
      <c r="F69" s="16" t="inlineStr">
        <is>
          <t>cash</t>
        </is>
      </c>
      <c r="G69" s="16" t="inlineStr">
        <is>
          <t>Yes</t>
        </is>
      </c>
      <c r="H69" s="17" t="inlineStr">
        <is>
          <t>Paid</t>
        </is>
      </c>
      <c r="I69" s="14" t="inlineStr">
        <is>
          <t>2026-05-23</t>
        </is>
      </c>
    </row>
    <row r="70">
      <c r="A70" s="14" t="inlineStr">
        <is>
          <t>2026-05-23</t>
        </is>
      </c>
      <c r="B70" s="14" t="inlineStr">
        <is>
          <t>Labour</t>
        </is>
      </c>
      <c r="C70" s="14" t="inlineStr">
        <is>
          <t>Team leader Meli (4 days)</t>
        </is>
      </c>
      <c r="D70" s="14" t="inlineStr">
        <is>
          <t>Meli</t>
        </is>
      </c>
      <c r="E70" s="15" t="n">
        <v>320</v>
      </c>
      <c r="F70" s="16" t="inlineStr">
        <is>
          <t>cash</t>
        </is>
      </c>
      <c r="G70" s="16" t="inlineStr">
        <is>
          <t>Yes</t>
        </is>
      </c>
      <c r="H70" s="17" t="inlineStr">
        <is>
          <t>Paid</t>
        </is>
      </c>
      <c r="I70" s="14" t="inlineStr">
        <is>
          <t>2026-05-23</t>
        </is>
      </c>
    </row>
    <row r="71">
      <c r="A71" s="14" t="inlineStr">
        <is>
          <t>2026-05-23</t>
        </is>
      </c>
      <c r="B71" s="14" t="inlineStr">
        <is>
          <t>Labour</t>
        </is>
      </c>
      <c r="C71" s="14" t="inlineStr">
        <is>
          <t>Replacement contractor (4 days)</t>
        </is>
      </c>
      <c r="D71" s="14" t="inlineStr">
        <is>
          <t>Contractor</t>
        </is>
      </c>
      <c r="E71" s="15" t="n">
        <v>400</v>
      </c>
      <c r="F71" s="16" t="inlineStr">
        <is>
          <t>cash</t>
        </is>
      </c>
      <c r="G71" s="16" t="inlineStr">
        <is>
          <t>Yes</t>
        </is>
      </c>
      <c r="H71" s="17" t="inlineStr">
        <is>
          <t>Paid</t>
        </is>
      </c>
      <c r="I71" s="14" t="inlineStr">
        <is>
          <t>2026-05-23</t>
        </is>
      </c>
    </row>
    <row r="72">
      <c r="A72" s="14" t="inlineStr">
        <is>
          <t>2026-05-23</t>
        </is>
      </c>
      <c r="B72" s="14" t="inlineStr">
        <is>
          <t>Waste/Bins</t>
        </is>
      </c>
      <c r="C72" s="14" t="inlineStr">
        <is>
          <t>Kairis - waste containers (3)</t>
        </is>
      </c>
      <c r="D72" s="14" t="inlineStr">
        <is>
          <t>Kairis</t>
        </is>
      </c>
      <c r="E72" s="15" t="n">
        <v>360</v>
      </c>
      <c r="F72" s="16" t="inlineStr">
        <is>
          <t>cash</t>
        </is>
      </c>
      <c r="G72" s="16" t="inlineStr">
        <is>
          <t>Yes</t>
        </is>
      </c>
      <c r="H72" s="17" t="inlineStr">
        <is>
          <t>Paid</t>
        </is>
      </c>
      <c r="I72" s="14" t="inlineStr">
        <is>
          <t>2026-05-23</t>
        </is>
      </c>
    </row>
    <row r="73">
      <c r="A73" s="14" t="inlineStr">
        <is>
          <t>2026-05-23</t>
        </is>
      </c>
      <c r="B73" s="14" t="inlineStr">
        <is>
          <t>Materials</t>
        </is>
      </c>
      <c r="C73" s="14" t="inlineStr">
        <is>
          <t>Kairis - upper floor materials</t>
        </is>
      </c>
      <c r="D73" s="14" t="inlineStr">
        <is>
          <t>Kairis</t>
        </is>
      </c>
      <c r="E73" s="15" t="n">
        <v>100</v>
      </c>
      <c r="F73" s="16" t="inlineStr">
        <is>
          <t>cash</t>
        </is>
      </c>
      <c r="G73" s="16" t="inlineStr">
        <is>
          <t>Yes</t>
        </is>
      </c>
      <c r="H73" s="17" t="inlineStr">
        <is>
          <t>Paid</t>
        </is>
      </c>
      <c r="I73" s="14" t="inlineStr">
        <is>
          <t>2026-05-23</t>
        </is>
      </c>
    </row>
    <row r="74">
      <c r="A74" s="14" t="inlineStr">
        <is>
          <t>2026-05-26</t>
        </is>
      </c>
      <c r="B74" s="14" t="inlineStr">
        <is>
          <t>Materials</t>
        </is>
      </c>
      <c r="C74" s="14" t="inlineStr">
        <is>
          <t>Kairis - partial debt settlement (of €3,335)</t>
        </is>
      </c>
      <c r="D74" s="14" t="inlineStr">
        <is>
          <t>Kairis</t>
        </is>
      </c>
      <c r="E74" s="15" t="n">
        <v>2330</v>
      </c>
      <c r="F74" s="16" t="inlineStr">
        <is>
          <t>cash</t>
        </is>
      </c>
      <c r="G74" s="16" t="inlineStr">
        <is>
          <t>Yes</t>
        </is>
      </c>
      <c r="H74" s="17" t="inlineStr">
        <is>
          <t>Paid</t>
        </is>
      </c>
      <c r="I74" s="14" t="inlineStr">
        <is>
          <t>2026-05-26</t>
        </is>
      </c>
    </row>
    <row r="75">
      <c r="A75" s="14" t="inlineStr">
        <is>
          <t>2026-05-26</t>
        </is>
      </c>
      <c r="B75" s="14" t="inlineStr">
        <is>
          <t>Legal/Admin</t>
        </is>
      </c>
      <c r="C75" s="14" t="inlineStr">
        <is>
          <t>Owner certificates x2 (Yael+Kobi)</t>
        </is>
      </c>
      <c r="D75" s="14" t="inlineStr">
        <is>
          <t>Vasiliki</t>
        </is>
      </c>
      <c r="E75" s="15" t="n">
        <v>200</v>
      </c>
      <c r="F75" s="16" t="inlineStr">
        <is>
          <t>transfer (NBG)</t>
        </is>
      </c>
      <c r="G75" s="16" t="inlineStr">
        <is>
          <t>Yes</t>
        </is>
      </c>
      <c r="H75" s="17" t="inlineStr">
        <is>
          <t>Paid</t>
        </is>
      </c>
      <c r="I75" s="14" t="inlineStr">
        <is>
          <t>2026-05-26</t>
        </is>
      </c>
    </row>
    <row r="76">
      <c r="A76" s="14" t="inlineStr">
        <is>
          <t>2026-05-18</t>
        </is>
      </c>
      <c r="B76" s="14" t="inlineStr">
        <is>
          <t>Legal/Admin</t>
        </is>
      </c>
      <c r="C76" s="14" t="inlineStr">
        <is>
          <t>Tax registration - accountant (SIANOS)</t>
        </is>
      </c>
      <c r="D76" s="14" t="inlineStr">
        <is>
          <t>Accountant</t>
        </is>
      </c>
      <c r="E76" s="15" t="n">
        <v>711</v>
      </c>
      <c r="F76" s="16" t="inlineStr">
        <is>
          <t>NBG card</t>
        </is>
      </c>
      <c r="G76" s="16" t="inlineStr">
        <is>
          <t>Yes</t>
        </is>
      </c>
      <c r="H76" s="17" t="inlineStr">
        <is>
          <t>Paid</t>
        </is>
      </c>
      <c r="I76" s="14" t="inlineStr">
        <is>
          <t>2026-05-18</t>
        </is>
      </c>
    </row>
    <row r="77">
      <c r="A77" s="14" t="inlineStr">
        <is>
          <t>2026-05-06</t>
        </is>
      </c>
      <c r="B77" s="14" t="inlineStr">
        <is>
          <t>Legal/Admin</t>
        </is>
      </c>
      <c r="C77" s="14" t="inlineStr">
        <is>
          <t>Land registry - temporal certification</t>
        </is>
      </c>
      <c r="D77" s="14" t="inlineStr">
        <is>
          <t>Land registry</t>
        </is>
      </c>
      <c r="E77" s="15" t="n">
        <v>100</v>
      </c>
      <c r="F77" s="16" t="inlineStr">
        <is>
          <t>transfer (NBG)</t>
        </is>
      </c>
      <c r="G77" s="16" t="inlineStr">
        <is>
          <t>Yes</t>
        </is>
      </c>
      <c r="H77" s="17" t="inlineStr">
        <is>
          <t>Paid</t>
        </is>
      </c>
      <c r="I77" s="14" t="inlineStr">
        <is>
          <t>2026-05-06</t>
        </is>
      </c>
    </row>
    <row r="78">
      <c r="A78" s="14" t="inlineStr">
        <is>
          <t>2026-05-25</t>
        </is>
      </c>
      <c r="B78" s="14" t="inlineStr">
        <is>
          <t>Labour</t>
        </is>
      </c>
      <c r="C78" s="14" t="inlineStr">
        <is>
          <t>Ice cream - worker treat</t>
        </is>
      </c>
      <c r="D78" s="14" t="inlineStr">
        <is>
          <t>Meli Ice Cream</t>
        </is>
      </c>
      <c r="E78" s="15" t="n">
        <v>50</v>
      </c>
      <c r="F78" s="16" t="inlineStr">
        <is>
          <t>cash</t>
        </is>
      </c>
      <c r="G78" s="16" t="inlineStr">
        <is>
          <t>Yes</t>
        </is>
      </c>
      <c r="H78" s="17" t="inlineStr">
        <is>
          <t>Paid</t>
        </is>
      </c>
      <c r="I78" s="14" t="inlineStr">
        <is>
          <t>2026-05-25</t>
        </is>
      </c>
    </row>
    <row r="79">
      <c r="A79" s="14" t="inlineStr">
        <is>
          <t>2026-05-28</t>
        </is>
      </c>
      <c r="B79" s="14" t="inlineStr">
        <is>
          <t>Site Works</t>
        </is>
      </c>
      <c r="C79" s="14" t="inlineStr">
        <is>
          <t>Excavator - open + close plumbing/electrical channels</t>
        </is>
      </c>
      <c r="D79" s="14" t="inlineStr">
        <is>
          <t>Excavator</t>
        </is>
      </c>
      <c r="E79" s="15" t="n">
        <v>600</v>
      </c>
      <c r="F79" s="16" t="inlineStr">
        <is>
          <t>cash</t>
        </is>
      </c>
      <c r="G79" s="16" t="inlineStr">
        <is>
          <t>Yes</t>
        </is>
      </c>
      <c r="H79" s="17" t="inlineStr">
        <is>
          <t>Paid</t>
        </is>
      </c>
      <c r="I79" s="14" t="inlineStr">
        <is>
          <t>2026-05-28</t>
        </is>
      </c>
    </row>
    <row r="80">
      <c r="A80" s="14" t="inlineStr">
        <is>
          <t>2026-05-28</t>
        </is>
      </c>
      <c r="B80" s="14" t="inlineStr">
        <is>
          <t>Plumbing</t>
        </is>
      </c>
      <c r="C80" s="14" t="inlineStr">
        <is>
          <t>Plumber - 3 days corner-to-corner pipe sealing</t>
        </is>
      </c>
      <c r="D80" s="14" t="inlineStr">
        <is>
          <t>Plumber</t>
        </is>
      </c>
      <c r="E80" s="15" t="n">
        <v>1000</v>
      </c>
      <c r="F80" s="16" t="inlineStr">
        <is>
          <t>cash</t>
        </is>
      </c>
      <c r="G80" s="16" t="inlineStr">
        <is>
          <t>Yes</t>
        </is>
      </c>
      <c r="H80" s="17" t="inlineStr">
        <is>
          <t>Paid</t>
        </is>
      </c>
      <c r="I80" s="14" t="inlineStr">
        <is>
          <t>2026-05-28</t>
        </is>
      </c>
    </row>
    <row r="81">
      <c r="A81" s="14" t="inlineStr">
        <is>
          <t>2026-05-28</t>
        </is>
      </c>
      <c r="B81" s="14" t="inlineStr">
        <is>
          <t>Electrical</t>
        </is>
      </c>
      <c r="C81" s="14" t="inlineStr">
        <is>
          <t>Electrician advance - power to Yael unit</t>
        </is>
      </c>
      <c r="D81" s="14" t="inlineStr">
        <is>
          <t>Electrician</t>
        </is>
      </c>
      <c r="E81" s="15" t="n">
        <v>1000</v>
      </c>
      <c r="F81" s="16" t="inlineStr">
        <is>
          <t>cash</t>
        </is>
      </c>
      <c r="G81" s="16" t="inlineStr">
        <is>
          <t>Yes</t>
        </is>
      </c>
      <c r="H81" s="17" t="inlineStr">
        <is>
          <t>Paid</t>
        </is>
      </c>
      <c r="I81" s="14" t="inlineStr">
        <is>
          <t>2026-05-28</t>
        </is>
      </c>
    </row>
    <row r="82">
      <c r="A82" s="14" t="inlineStr">
        <is>
          <t>2026-05-28</t>
        </is>
      </c>
      <c r="B82" s="14" t="inlineStr">
        <is>
          <t>Plumbing</t>
        </is>
      </c>
      <c r="C82" s="14" t="inlineStr">
        <is>
          <t>Plumber - materials &amp; pipes (infrastructure)</t>
        </is>
      </c>
      <c r="D82" s="14" t="inlineStr">
        <is>
          <t>Plumber</t>
        </is>
      </c>
      <c r="E82" s="15" t="n">
        <v>300</v>
      </c>
      <c r="F82" s="16" t="inlineStr">
        <is>
          <t>cash</t>
        </is>
      </c>
      <c r="G82" s="16" t="inlineStr">
        <is>
          <t>Yes</t>
        </is>
      </c>
      <c r="H82" s="17" t="inlineStr">
        <is>
          <t>Paid</t>
        </is>
      </c>
      <c r="I82" s="14" t="inlineStr">
        <is>
          <t>2026-05-28</t>
        </is>
      </c>
    </row>
    <row r="83">
      <c r="A83" s="14" t="inlineStr">
        <is>
          <t>2026-06-01</t>
        </is>
      </c>
      <c r="B83" s="14" t="inlineStr">
        <is>
          <t>Labour</t>
        </is>
      </c>
      <c r="C83" s="14" t="inlineStr">
        <is>
          <t>Workers wages week May26-31</t>
        </is>
      </c>
      <c r="D83" s="14" t="inlineStr">
        <is>
          <t>Workers</t>
        </is>
      </c>
      <c r="E83" s="15" t="n">
        <v>1500</v>
      </c>
      <c r="F83" s="16" t="inlineStr">
        <is>
          <t>cash</t>
        </is>
      </c>
      <c r="G83" s="16" t="inlineStr">
        <is>
          <t>Yes</t>
        </is>
      </c>
      <c r="H83" s="17" t="inlineStr">
        <is>
          <t>Paid</t>
        </is>
      </c>
      <c r="I83" s="14" t="inlineStr">
        <is>
          <t>2026-06-01</t>
        </is>
      </c>
    </row>
    <row r="84">
      <c r="A84" s="14" t="inlineStr">
        <is>
          <t>2026-06-01</t>
        </is>
      </c>
      <c r="B84" s="14" t="inlineStr">
        <is>
          <t>Materials</t>
        </is>
      </c>
      <c r="C84" s="14" t="inlineStr">
        <is>
          <t>3-component epoxy coating - Yael unit floor</t>
        </is>
      </c>
      <c r="D84" s="14" t="inlineStr">
        <is>
          <t>Supplier</t>
        </is>
      </c>
      <c r="E84" s="15" t="n">
        <v>400</v>
      </c>
      <c r="F84" s="16" t="inlineStr">
        <is>
          <t>cash</t>
        </is>
      </c>
      <c r="G84" s="16" t="inlineStr">
        <is>
          <t>Yes</t>
        </is>
      </c>
      <c r="H84" s="17" t="inlineStr">
        <is>
          <t>Paid</t>
        </is>
      </c>
      <c r="I84" s="14" t="inlineStr">
        <is>
          <t>2026-06-01</t>
        </is>
      </c>
    </row>
    <row r="85">
      <c r="A85" s="14" t="inlineStr">
        <is>
          <t>2026-06-06</t>
        </is>
      </c>
      <c r="B85" s="14" t="inlineStr">
        <is>
          <t>Labour</t>
        </is>
      </c>
      <c r="C85" s="14" t="inlineStr">
        <is>
          <t>Workers wages week Jun2-6</t>
        </is>
      </c>
      <c r="D85" s="14" t="inlineStr">
        <is>
          <t>Workers+Meli</t>
        </is>
      </c>
      <c r="E85" s="15" t="n">
        <v>1780</v>
      </c>
      <c r="F85" s="16" t="inlineStr">
        <is>
          <t>cash</t>
        </is>
      </c>
      <c r="G85" s="16" t="inlineStr">
        <is>
          <t>Yes</t>
        </is>
      </c>
      <c r="H85" s="17" t="inlineStr">
        <is>
          <t>Paid</t>
        </is>
      </c>
      <c r="I85" s="14" t="inlineStr">
        <is>
          <t>2026-06-06</t>
        </is>
      </c>
    </row>
    <row r="86">
      <c r="A86" s="14" t="inlineStr">
        <is>
          <t>2026-06-06</t>
        </is>
      </c>
      <c r="B86" s="14" t="inlineStr">
        <is>
          <t>Materials</t>
        </is>
      </c>
      <c r="C86" s="14" t="inlineStr">
        <is>
          <t>Precast septic rings+cover+crane - Yael unit</t>
        </is>
      </c>
      <c r="D86" s="14" t="inlineStr">
        <is>
          <t>Supplier</t>
        </is>
      </c>
      <c r="E86" s="15" t="n">
        <v>650</v>
      </c>
      <c r="F86" s="16" t="inlineStr">
        <is>
          <t>cash</t>
        </is>
      </c>
      <c r="G86" s="16" t="inlineStr">
        <is>
          <t>Yes</t>
        </is>
      </c>
      <c r="H86" s="17" t="inlineStr">
        <is>
          <t>Paid</t>
        </is>
      </c>
      <c r="I86" s="14" t="inlineStr">
        <is>
          <t>2026-06-06</t>
        </is>
      </c>
    </row>
    <row r="87">
      <c r="A87" s="14" t="inlineStr">
        <is>
          <t>2026-06-06</t>
        </is>
      </c>
      <c r="B87" s="14" t="inlineStr">
        <is>
          <t>Waste/Bins</t>
        </is>
      </c>
      <c r="C87" s="14" t="inlineStr">
        <is>
          <t>Kairis - waste container</t>
        </is>
      </c>
      <c r="D87" s="14" t="inlineStr">
        <is>
          <t>Kairis</t>
        </is>
      </c>
      <c r="E87" s="15" t="n">
        <v>125</v>
      </c>
      <c r="F87" s="16" t="inlineStr">
        <is>
          <t>cash</t>
        </is>
      </c>
      <c r="G87" s="16" t="inlineStr">
        <is>
          <t>Yes</t>
        </is>
      </c>
      <c r="H87" s="17" t="inlineStr">
        <is>
          <t>Paid</t>
        </is>
      </c>
      <c r="I87" s="14" t="inlineStr">
        <is>
          <t>2026-06-06</t>
        </is>
      </c>
    </row>
    <row r="88">
      <c r="A88" s="14" t="inlineStr">
        <is>
          <t>2026-06-06</t>
        </is>
      </c>
      <c r="B88" s="14" t="inlineStr">
        <is>
          <t>Fuel</t>
        </is>
      </c>
      <c r="C88" s="14" t="inlineStr">
        <is>
          <t>Site fuel</t>
        </is>
      </c>
      <c r="D88" s="14" t="inlineStr">
        <is>
          <t>Gas station</t>
        </is>
      </c>
      <c r="E88" s="15" t="n">
        <v>50</v>
      </c>
      <c r="F88" s="16" t="inlineStr">
        <is>
          <t>cash</t>
        </is>
      </c>
      <c r="G88" s="16" t="inlineStr">
        <is>
          <t>Yes</t>
        </is>
      </c>
      <c r="H88" s="17" t="inlineStr">
        <is>
          <t>Paid</t>
        </is>
      </c>
      <c r="I88" s="14" t="inlineStr">
        <is>
          <t>2026-06-06</t>
        </is>
      </c>
    </row>
    <row r="89">
      <c r="A89" s="14" t="inlineStr">
        <is>
          <t>2026-06-06</t>
        </is>
      </c>
      <c r="B89" s="14" t="inlineStr">
        <is>
          <t>Other</t>
        </is>
      </c>
      <c r="C89" s="14" t="inlineStr">
        <is>
          <t>Old mattress removal - front area</t>
        </is>
      </c>
      <c r="D89" s="14" t="inlineStr">
        <is>
          <t>Removal</t>
        </is>
      </c>
      <c r="E89" s="15" t="n">
        <v>50</v>
      </c>
      <c r="F89" s="16" t="inlineStr">
        <is>
          <t>cash</t>
        </is>
      </c>
      <c r="G89" s="16" t="inlineStr">
        <is>
          <t>Yes</t>
        </is>
      </c>
      <c r="H89" s="17" t="inlineStr">
        <is>
          <t>Paid</t>
        </is>
      </c>
      <c r="I89" s="14" t="inlineStr">
        <is>
          <t>2026-06-06</t>
        </is>
      </c>
    </row>
    <row r="90">
      <c r="A90" s="14" t="inlineStr">
        <is>
          <t>2026-06-06</t>
        </is>
      </c>
      <c r="B90" s="14" t="inlineStr">
        <is>
          <t>Materials</t>
        </is>
      </c>
      <c r="C90" s="14" t="inlineStr">
        <is>
          <t>Kairis - 10 sacks (running tab)</t>
        </is>
      </c>
      <c r="D90" s="14" t="inlineStr">
        <is>
          <t>Kairis</t>
        </is>
      </c>
      <c r="E90" s="15" t="n">
        <v>105</v>
      </c>
      <c r="F90" s="16" t="inlineStr">
        <is>
          <t>cash</t>
        </is>
      </c>
      <c r="G90" s="16" t="inlineStr">
        <is>
          <t>Yes</t>
        </is>
      </c>
      <c r="H90" s="17" t="inlineStr">
        <is>
          <t>Paid</t>
        </is>
      </c>
      <c r="I90" s="14" t="inlineStr">
        <is>
          <t>2026-06-06</t>
        </is>
      </c>
    </row>
    <row r="91">
      <c r="A91" s="14" t="inlineStr">
        <is>
          <t>2026-06-06</t>
        </is>
      </c>
      <c r="B91" s="14" t="inlineStr">
        <is>
          <t>Materials</t>
        </is>
      </c>
      <c r="C91" s="14" t="inlineStr">
        <is>
          <t>Kairis - partial payment (of €4,045)</t>
        </is>
      </c>
      <c r="D91" s="14" t="inlineStr">
        <is>
          <t>Kairis</t>
        </is>
      </c>
      <c r="E91" s="15" t="n">
        <v>2000</v>
      </c>
      <c r="F91" s="16" t="inlineStr">
        <is>
          <t>cash</t>
        </is>
      </c>
      <c r="G91" s="16" t="inlineStr">
        <is>
          <t>Yes</t>
        </is>
      </c>
      <c r="H91" s="17" t="inlineStr">
        <is>
          <t>Paid</t>
        </is>
      </c>
      <c r="I91" s="14" t="inlineStr">
        <is>
          <t>2026-06-06</t>
        </is>
      </c>
    </row>
    <row r="92">
      <c r="A92" s="14" t="inlineStr">
        <is>
          <t>2026-06-06</t>
        </is>
      </c>
      <c r="B92" s="14" t="inlineStr">
        <is>
          <t>Plumbing</t>
        </is>
      </c>
      <c r="C92" s="14" t="inlineStr">
        <is>
          <t>Bathroom fixtures - Yael unit</t>
        </is>
      </c>
      <c r="D92" s="14" t="inlineStr">
        <is>
          <t>Diamantopoulos</t>
        </is>
      </c>
      <c r="E92" s="15" t="n">
        <v>614</v>
      </c>
      <c r="F92" s="16" t="inlineStr">
        <is>
          <t>Wise</t>
        </is>
      </c>
      <c r="G92" s="16" t="inlineStr">
        <is>
          <t>No</t>
        </is>
      </c>
      <c r="H92" s="17" t="inlineStr">
        <is>
          <t>Paid</t>
        </is>
      </c>
      <c r="I92" s="14" t="inlineStr">
        <is>
          <t>2026-06-06</t>
        </is>
      </c>
    </row>
    <row r="93">
      <c r="A93" s="14" t="inlineStr">
        <is>
          <t>2026-06-07</t>
        </is>
      </c>
      <c r="B93" s="14" t="inlineStr">
        <is>
          <t>Labour</t>
        </is>
      </c>
      <c r="C93" s="14" t="inlineStr">
        <is>
          <t>Workers Jun7 Sunday (Meli+1)</t>
        </is>
      </c>
      <c r="D93" s="14" t="inlineStr">
        <is>
          <t>Workers</t>
        </is>
      </c>
      <c r="E93" s="15" t="n">
        <v>130</v>
      </c>
      <c r="F93" s="16" t="inlineStr">
        <is>
          <t>cash</t>
        </is>
      </c>
      <c r="G93" s="16" t="inlineStr">
        <is>
          <t>Yes</t>
        </is>
      </c>
      <c r="H93" s="17" t="inlineStr">
        <is>
          <t>Paid</t>
        </is>
      </c>
      <c r="I93" s="14" t="inlineStr">
        <is>
          <t>2026-06-07</t>
        </is>
      </c>
    </row>
    <row r="94">
      <c r="A94" s="14" t="inlineStr">
        <is>
          <t>2026-06-13</t>
        </is>
      </c>
      <c r="B94" s="14" t="inlineStr">
        <is>
          <t>Plumbing</t>
        </is>
      </c>
      <c r="C94" s="14" t="inlineStr">
        <is>
          <t>Transport - bathroom supplies from Athens</t>
        </is>
      </c>
      <c r="D94" s="14" t="inlineStr">
        <is>
          <t>Istiaia transport</t>
        </is>
      </c>
      <c r="E94" s="15" t="n">
        <v>45</v>
      </c>
      <c r="F94" s="16" t="inlineStr">
        <is>
          <t>cash</t>
        </is>
      </c>
      <c r="G94" s="16" t="inlineStr">
        <is>
          <t>Yes</t>
        </is>
      </c>
      <c r="H94" s="17" t="inlineStr">
        <is>
          <t>Paid</t>
        </is>
      </c>
      <c r="I94" s="14" t="inlineStr">
        <is>
          <t>2026-06-13</t>
        </is>
      </c>
    </row>
    <row r="95">
      <c r="A95" s="14" t="inlineStr">
        <is>
          <t>2026-06-13</t>
        </is>
      </c>
      <c r="B95" s="14" t="inlineStr">
        <is>
          <t>Labour</t>
        </is>
      </c>
      <c r="C95" s="14" t="inlineStr">
        <is>
          <t>Workers Mon+Tue (4/day)</t>
        </is>
      </c>
      <c r="D95" s="14" t="inlineStr">
        <is>
          <t>Workers</t>
        </is>
      </c>
      <c r="E95" s="15" t="n">
        <v>400</v>
      </c>
      <c r="F95" s="16" t="inlineStr">
        <is>
          <t>cash</t>
        </is>
      </c>
      <c r="G95" s="16" t="inlineStr">
        <is>
          <t>Yes</t>
        </is>
      </c>
      <c r="H95" s="17" t="inlineStr">
        <is>
          <t>Paid</t>
        </is>
      </c>
      <c r="I95" s="14" t="inlineStr">
        <is>
          <t>2026-06-13</t>
        </is>
      </c>
    </row>
    <row r="96">
      <c r="A96" s="14" t="inlineStr">
        <is>
          <t>2026-06-13</t>
        </is>
      </c>
      <c r="B96" s="14" t="inlineStr">
        <is>
          <t>Labour</t>
        </is>
      </c>
      <c r="C96" s="14" t="inlineStr">
        <is>
          <t>Meli Mon+Tue</t>
        </is>
      </c>
      <c r="D96" s="14" t="inlineStr">
        <is>
          <t>Meli</t>
        </is>
      </c>
      <c r="E96" s="15" t="n">
        <v>160</v>
      </c>
      <c r="F96" s="16" t="inlineStr">
        <is>
          <t>cash</t>
        </is>
      </c>
      <c r="G96" s="16" t="inlineStr">
        <is>
          <t>Yes</t>
        </is>
      </c>
      <c r="H96" s="17" t="inlineStr">
        <is>
          <t>Paid</t>
        </is>
      </c>
      <c r="I96" s="14" t="inlineStr">
        <is>
          <t>2026-06-13</t>
        </is>
      </c>
    </row>
    <row r="97">
      <c r="A97" s="14" t="inlineStr">
        <is>
          <t>2026-06-13</t>
        </is>
      </c>
      <c r="B97" s="14" t="inlineStr">
        <is>
          <t>Labour</t>
        </is>
      </c>
      <c r="C97" s="14" t="inlineStr">
        <is>
          <t>Workers Wed+Thu (4+ESAT)</t>
        </is>
      </c>
      <c r="D97" s="14" t="inlineStr">
        <is>
          <t>Workers</t>
        </is>
      </c>
      <c r="E97" s="15" t="n">
        <v>500</v>
      </c>
      <c r="F97" s="16" t="inlineStr">
        <is>
          <t>cash</t>
        </is>
      </c>
      <c r="G97" s="16" t="inlineStr">
        <is>
          <t>Yes</t>
        </is>
      </c>
      <c r="H97" s="17" t="inlineStr">
        <is>
          <t>Paid</t>
        </is>
      </c>
      <c r="I97" s="14" t="inlineStr">
        <is>
          <t>2026-06-13</t>
        </is>
      </c>
    </row>
    <row r="98">
      <c r="A98" s="14" t="inlineStr">
        <is>
          <t>2026-06-13</t>
        </is>
      </c>
      <c r="B98" s="14" t="inlineStr">
        <is>
          <t>Labour</t>
        </is>
      </c>
      <c r="C98" s="14" t="inlineStr">
        <is>
          <t>Meli Wed+Thu</t>
        </is>
      </c>
      <c r="D98" s="14" t="inlineStr">
        <is>
          <t>Meli</t>
        </is>
      </c>
      <c r="E98" s="15" t="n">
        <v>160</v>
      </c>
      <c r="F98" s="16" t="inlineStr">
        <is>
          <t>cash</t>
        </is>
      </c>
      <c r="G98" s="16" t="inlineStr">
        <is>
          <t>Yes</t>
        </is>
      </c>
      <c r="H98" s="17" t="inlineStr">
        <is>
          <t>Paid</t>
        </is>
      </c>
      <c r="I98" s="14" t="inlineStr">
        <is>
          <t>2026-06-13</t>
        </is>
      </c>
    </row>
    <row r="99">
      <c r="A99" s="14" t="inlineStr">
        <is>
          <t>2026-06-13</t>
        </is>
      </c>
      <c r="B99" s="14" t="inlineStr">
        <is>
          <t>Labour</t>
        </is>
      </c>
      <c r="C99" s="14" t="inlineStr">
        <is>
          <t>Workers Fri+Sat (5+ESAT)</t>
        </is>
      </c>
      <c r="D99" s="14" t="inlineStr">
        <is>
          <t>Workers</t>
        </is>
      </c>
      <c r="E99" s="15" t="n">
        <v>600</v>
      </c>
      <c r="F99" s="16" t="inlineStr">
        <is>
          <t>cash</t>
        </is>
      </c>
      <c r="G99" s="16" t="inlineStr">
        <is>
          <t>Yes</t>
        </is>
      </c>
      <c r="H99" s="17" t="inlineStr">
        <is>
          <t>Paid</t>
        </is>
      </c>
      <c r="I99" s="14" t="inlineStr">
        <is>
          <t>2026-06-13</t>
        </is>
      </c>
    </row>
    <row r="100">
      <c r="A100" s="14" t="inlineStr">
        <is>
          <t>2026-06-13</t>
        </is>
      </c>
      <c r="B100" s="14" t="inlineStr">
        <is>
          <t>Labour</t>
        </is>
      </c>
      <c r="C100" s="14" t="inlineStr">
        <is>
          <t>Meli Fri+Sat</t>
        </is>
      </c>
      <c r="D100" s="14" t="inlineStr">
        <is>
          <t>Meli</t>
        </is>
      </c>
      <c r="E100" s="15" t="n">
        <v>160</v>
      </c>
      <c r="F100" s="16" t="inlineStr">
        <is>
          <t>cash</t>
        </is>
      </c>
      <c r="G100" s="16" t="inlineStr">
        <is>
          <t>Yes</t>
        </is>
      </c>
      <c r="H100" s="17" t="inlineStr">
        <is>
          <t>Paid</t>
        </is>
      </c>
      <c r="I100" s="14" t="inlineStr">
        <is>
          <t>2026-06-13</t>
        </is>
      </c>
    </row>
    <row r="101">
      <c r="A101" s="14" t="inlineStr">
        <is>
          <t>2026-06-13</t>
        </is>
      </c>
      <c r="B101" s="14" t="inlineStr">
        <is>
          <t>Labour</t>
        </is>
      </c>
      <c r="C101" s="14" t="inlineStr">
        <is>
          <t>Ilir - roof welding (Fri)</t>
        </is>
      </c>
      <c r="D101" s="14" t="inlineStr">
        <is>
          <t>Ilir</t>
        </is>
      </c>
      <c r="E101" s="15" t="n">
        <v>300</v>
      </c>
      <c r="F101" s="16" t="inlineStr">
        <is>
          <t>cash</t>
        </is>
      </c>
      <c r="G101" s="16" t="inlineStr">
        <is>
          <t>Yes</t>
        </is>
      </c>
      <c r="H101" s="17" t="inlineStr">
        <is>
          <t>Paid</t>
        </is>
      </c>
      <c r="I101" s="14" t="inlineStr">
        <is>
          <t>2026-06-13</t>
        </is>
      </c>
    </row>
    <row r="102">
      <c r="A102" s="14" t="inlineStr">
        <is>
          <t>2026-06-13</t>
        </is>
      </c>
      <c r="B102" s="14" t="inlineStr">
        <is>
          <t>Labour</t>
        </is>
      </c>
      <c r="C102" s="14" t="inlineStr">
        <is>
          <t>Ilir - roof welding (Sat)</t>
        </is>
      </c>
      <c r="D102" s="14" t="inlineStr">
        <is>
          <t>Ilir</t>
        </is>
      </c>
      <c r="E102" s="15" t="n">
        <v>300</v>
      </c>
      <c r="F102" s="16" t="inlineStr">
        <is>
          <t>cash</t>
        </is>
      </c>
      <c r="G102" s="16" t="inlineStr">
        <is>
          <t>Yes</t>
        </is>
      </c>
      <c r="H102" s="17" t="inlineStr">
        <is>
          <t>Paid</t>
        </is>
      </c>
      <c r="I102" s="14" t="inlineStr">
        <is>
          <t>2026-06-13</t>
        </is>
      </c>
    </row>
    <row r="103">
      <c r="A103" s="14" t="inlineStr">
        <is>
          <t>2026-06-13</t>
        </is>
      </c>
      <c r="B103" s="14" t="inlineStr">
        <is>
          <t>Fuel</t>
        </is>
      </c>
      <c r="C103" s="14" t="inlineStr">
        <is>
          <t>Site fuel week Jun8-13</t>
        </is>
      </c>
      <c r="D103" s="14" t="inlineStr">
        <is>
          <t>Gas station</t>
        </is>
      </c>
      <c r="E103" s="15" t="n">
        <v>40</v>
      </c>
      <c r="F103" s="16" t="inlineStr">
        <is>
          <t>cash</t>
        </is>
      </c>
      <c r="G103" s="16" t="inlineStr">
        <is>
          <t>Yes</t>
        </is>
      </c>
      <c r="H103" s="17" t="inlineStr">
        <is>
          <t>Paid</t>
        </is>
      </c>
      <c r="I103" s="14" t="inlineStr">
        <is>
          <t>2026-06-13</t>
        </is>
      </c>
    </row>
    <row r="104">
      <c r="A104" s="14" t="inlineStr">
        <is>
          <t>2026-06-13</t>
        </is>
      </c>
      <c r="B104" s="14" t="inlineStr">
        <is>
          <t>Materials</t>
        </is>
      </c>
      <c r="C104" s="14" t="inlineStr">
        <is>
          <t>Kairis materials week Jun8-13</t>
        </is>
      </c>
      <c r="D104" s="14" t="inlineStr">
        <is>
          <t>Kairis</t>
        </is>
      </c>
      <c r="E104" s="15" t="n">
        <v>450</v>
      </c>
      <c r="F104" s="16" t="inlineStr">
        <is>
          <t>cash</t>
        </is>
      </c>
      <c r="G104" s="16" t="inlineStr">
        <is>
          <t>Yes</t>
        </is>
      </c>
      <c r="H104" s="17" t="inlineStr">
        <is>
          <t>Paid</t>
        </is>
      </c>
      <c r="I104" s="14" t="inlineStr">
        <is>
          <t>2026-06-13</t>
        </is>
      </c>
    </row>
    <row r="105">
      <c r="A105" s="14" t="inlineStr">
        <is>
          <t>2026-06-13</t>
        </is>
      </c>
      <c r="B105" s="14" t="inlineStr">
        <is>
          <t>Electrical</t>
        </is>
      </c>
      <c r="C105" s="14" t="inlineStr">
        <is>
          <t>Extension cable</t>
        </is>
      </c>
      <c r="D105" s="14" t="inlineStr">
        <is>
          <t>Supplier</t>
        </is>
      </c>
      <c r="E105" s="15" t="n">
        <v>75</v>
      </c>
      <c r="F105" s="16" t="inlineStr">
        <is>
          <t>cash</t>
        </is>
      </c>
      <c r="G105" s="16" t="inlineStr">
        <is>
          <t>Yes</t>
        </is>
      </c>
      <c r="H105" s="17" t="inlineStr">
        <is>
          <t>Paid</t>
        </is>
      </c>
      <c r="I105" s="14" t="inlineStr">
        <is>
          <t>2026-06-13</t>
        </is>
      </c>
    </row>
    <row r="106">
      <c r="A106" s="14" t="inlineStr">
        <is>
          <t>2026-06-13</t>
        </is>
      </c>
      <c r="B106" s="14" t="inlineStr">
        <is>
          <t>Materials</t>
        </is>
      </c>
      <c r="C106" s="14" t="inlineStr">
        <is>
          <t>Tarpaulin (rain protection)</t>
        </is>
      </c>
      <c r="D106" s="14" t="inlineStr">
        <is>
          <t>Supplier</t>
        </is>
      </c>
      <c r="E106" s="15" t="n">
        <v>75</v>
      </c>
      <c r="F106" s="16" t="inlineStr">
        <is>
          <t>cash</t>
        </is>
      </c>
      <c r="G106" s="16" t="inlineStr">
        <is>
          <t>Yes</t>
        </is>
      </c>
      <c r="H106" s="17" t="inlineStr">
        <is>
          <t>Paid</t>
        </is>
      </c>
      <c r="I106" s="14" t="inlineStr">
        <is>
          <t>2026-06-13</t>
        </is>
      </c>
    </row>
    <row r="107">
      <c r="A107" s="14" t="inlineStr">
        <is>
          <t>2026-06-13</t>
        </is>
      </c>
      <c r="B107" s="14" t="inlineStr">
        <is>
          <t>Materials</t>
        </is>
      </c>
      <c r="C107" s="14" t="inlineStr">
        <is>
          <t>Concrete roof anchors + resin</t>
        </is>
      </c>
      <c r="D107" s="14" t="inlineStr">
        <is>
          <t>Supplier</t>
        </is>
      </c>
      <c r="E107" s="15" t="n">
        <v>80</v>
      </c>
      <c r="F107" s="16" t="inlineStr">
        <is>
          <t>cash</t>
        </is>
      </c>
      <c r="G107" s="16" t="inlineStr">
        <is>
          <t>Yes</t>
        </is>
      </c>
      <c r="H107" s="17" t="inlineStr">
        <is>
          <t>Paid</t>
        </is>
      </c>
      <c r="I107" s="14" t="inlineStr">
        <is>
          <t>2026-06-13</t>
        </is>
      </c>
    </row>
    <row r="108">
      <c r="A108" s="14" t="inlineStr">
        <is>
          <t>2026-06-15</t>
        </is>
      </c>
      <c r="B108" s="14" t="inlineStr">
        <is>
          <t>Materials</t>
        </is>
      </c>
      <c r="C108" s="14" t="inlineStr">
        <is>
          <t>Kairis - partial payment (bal -&gt; ~€400)</t>
        </is>
      </c>
      <c r="D108" s="14" t="inlineStr">
        <is>
          <t>Kairis</t>
        </is>
      </c>
      <c r="E108" s="15" t="n">
        <v>2000</v>
      </c>
      <c r="F108" s="16" t="inlineStr">
        <is>
          <t>cash</t>
        </is>
      </c>
      <c r="G108" s="16" t="inlineStr">
        <is>
          <t>Yes</t>
        </is>
      </c>
      <c r="H108" s="17" t="inlineStr">
        <is>
          <t>Paid</t>
        </is>
      </c>
      <c r="I108" s="14" t="inlineStr">
        <is>
          <t>2026-06-15</t>
        </is>
      </c>
    </row>
    <row r="109">
      <c r="A109" s="14" t="inlineStr">
        <is>
          <t>2026-06-18</t>
        </is>
      </c>
      <c r="B109" s="14" t="inlineStr">
        <is>
          <t>Materials</t>
        </is>
      </c>
      <c r="C109" s="14" t="inlineStr">
        <is>
          <t>Athens shopping - Yael unit fit-out (door/AC/heater/window/access.)</t>
        </is>
      </c>
      <c r="D109" s="14" t="inlineStr">
        <is>
          <t>Athens suppliers</t>
        </is>
      </c>
      <c r="E109" s="15" t="n">
        <v>972.55</v>
      </c>
      <c r="F109" s="16" t="inlineStr">
        <is>
          <t>card (Vicky)</t>
        </is>
      </c>
      <c r="G109" s="16" t="inlineStr">
        <is>
          <t>No</t>
        </is>
      </c>
      <c r="H109" s="17" t="inlineStr">
        <is>
          <t>Paid</t>
        </is>
      </c>
      <c r="I109" s="14" t="inlineStr">
        <is>
          <t>2026-06-18</t>
        </is>
      </c>
    </row>
    <row r="110">
      <c r="A110" s="14" t="inlineStr">
        <is>
          <t>2026-06-24</t>
        </is>
      </c>
      <c r="B110" s="14" t="inlineStr">
        <is>
          <t>Equipment</t>
        </is>
      </c>
      <c r="C110" s="14" t="inlineStr">
        <is>
          <t>Demolition hammer drill (STRIGOS) - charge to Antonis contract</t>
        </is>
      </c>
      <c r="D110" s="14" t="inlineStr">
        <is>
          <t>STRIGOS SERVICE</t>
        </is>
      </c>
      <c r="E110" s="15" t="n">
        <v>380.6</v>
      </c>
      <c r="F110" s="16" t="inlineStr">
        <is>
          <t>NBG card</t>
        </is>
      </c>
      <c r="G110" s="16" t="inlineStr">
        <is>
          <t>Yes</t>
        </is>
      </c>
      <c r="H110" s="17" t="inlineStr">
        <is>
          <t>Paid</t>
        </is>
      </c>
      <c r="I110" s="14" t="inlineStr">
        <is>
          <t>2026-06-24</t>
        </is>
      </c>
    </row>
    <row r="111">
      <c r="A111" s="14" t="inlineStr">
        <is>
          <t>2026-06-19</t>
        </is>
      </c>
      <c r="B111" s="14" t="inlineStr">
        <is>
          <t>Tiles</t>
        </is>
      </c>
      <c r="C111" s="14" t="inlineStr">
        <is>
          <t>Spanish tiles 'Crosscut Marfil' 60x60 25.88m²</t>
        </is>
      </c>
      <c r="D111" s="14" t="inlineStr">
        <is>
          <t>Tsintonis</t>
        </is>
      </c>
      <c r="E111" s="15" t="n">
        <v>286</v>
      </c>
      <c r="F111" s="16" t="inlineStr">
        <is>
          <t>Wise</t>
        </is>
      </c>
      <c r="G111" s="16" t="inlineStr">
        <is>
          <t>No</t>
        </is>
      </c>
      <c r="H111" s="17" t="inlineStr">
        <is>
          <t>Paid</t>
        </is>
      </c>
      <c r="I111" s="14" t="inlineStr">
        <is>
          <t>2026-06-19</t>
        </is>
      </c>
    </row>
    <row r="112">
      <c r="A112" s="14" t="inlineStr">
        <is>
          <t>2026-06-22</t>
        </is>
      </c>
      <c r="B112" s="14" t="inlineStr">
        <is>
          <t>Labour</t>
        </is>
      </c>
      <c r="C112" s="14" t="inlineStr">
        <is>
          <t>Workers week Jun16-21 (incl polished cement)</t>
        </is>
      </c>
      <c r="D112" s="14" t="inlineStr">
        <is>
          <t>Workers+Meli</t>
        </is>
      </c>
      <c r="E112" s="15" t="n">
        <v>2280</v>
      </c>
      <c r="F112" s="16" t="inlineStr">
        <is>
          <t>cash</t>
        </is>
      </c>
      <c r="G112" s="16" t="inlineStr">
        <is>
          <t>Yes</t>
        </is>
      </c>
      <c r="H112" s="17" t="inlineStr">
        <is>
          <t>Paid</t>
        </is>
      </c>
      <c r="I112" s="14" t="inlineStr">
        <is>
          <t>2026-06-22</t>
        </is>
      </c>
    </row>
    <row r="113">
      <c r="A113" s="14" t="inlineStr">
        <is>
          <t>2026-06-22</t>
        </is>
      </c>
      <c r="B113" s="14" t="inlineStr">
        <is>
          <t>Materials</t>
        </is>
      </c>
      <c r="C113" s="14" t="inlineStr">
        <is>
          <t>Kairis materials week Jun15-21</t>
        </is>
      </c>
      <c r="D113" s="14" t="inlineStr">
        <is>
          <t>Kairis</t>
        </is>
      </c>
      <c r="E113" s="15" t="n">
        <v>1175</v>
      </c>
      <c r="F113" s="16" t="inlineStr">
        <is>
          <t>cash</t>
        </is>
      </c>
      <c r="G113" s="16" t="inlineStr">
        <is>
          <t>Yes</t>
        </is>
      </c>
      <c r="H113" s="17" t="inlineStr">
        <is>
          <t>Paid</t>
        </is>
      </c>
      <c r="I113" s="14" t="inlineStr">
        <is>
          <t>2026-06-22</t>
        </is>
      </c>
    </row>
    <row r="114">
      <c r="A114" s="14" t="inlineStr">
        <is>
          <t>2026-06-22</t>
        </is>
      </c>
      <c r="B114" s="14" t="inlineStr">
        <is>
          <t>Furniture</t>
        </is>
      </c>
      <c r="C114" s="14" t="inlineStr">
        <is>
          <t>Iron bed frame+bedside tables+slats - Yael</t>
        </is>
      </c>
      <c r="D114" s="14" t="inlineStr">
        <is>
          <t>Supplier</t>
        </is>
      </c>
      <c r="E114" s="15" t="n">
        <v>350</v>
      </c>
      <c r="F114" s="16" t="inlineStr">
        <is>
          <t>cash</t>
        </is>
      </c>
      <c r="G114" s="16" t="inlineStr">
        <is>
          <t>Yes</t>
        </is>
      </c>
      <c r="H114" s="17" t="inlineStr">
        <is>
          <t>Paid</t>
        </is>
      </c>
      <c r="I114" s="14" t="inlineStr">
        <is>
          <t>2026-06-22</t>
        </is>
      </c>
    </row>
    <row r="115">
      <c r="A115" s="14" t="inlineStr">
        <is>
          <t>2026-06-22</t>
        </is>
      </c>
      <c r="B115" s="14" t="inlineStr">
        <is>
          <t>Furniture</t>
        </is>
      </c>
      <c r="C115" s="14" t="inlineStr">
        <is>
          <t>Bedding/pillows/bedspread - Yael unit</t>
        </is>
      </c>
      <c r="D115" s="14" t="inlineStr">
        <is>
          <t>Vicky</t>
        </is>
      </c>
      <c r="E115" s="15" t="n">
        <v>155</v>
      </c>
      <c r="F115" s="16" t="inlineStr">
        <is>
          <t>card (Vicky)</t>
        </is>
      </c>
      <c r="G115" s="16" t="inlineStr">
        <is>
          <t>No</t>
        </is>
      </c>
      <c r="H115" s="17" t="inlineStr">
        <is>
          <t>Paid</t>
        </is>
      </c>
      <c r="I115" s="14" t="inlineStr">
        <is>
          <t>2026-06-22</t>
        </is>
      </c>
    </row>
    <row r="116">
      <c r="A116" s="14" t="inlineStr">
        <is>
          <t>2026-06-22</t>
        </is>
      </c>
      <c r="B116" s="14" t="inlineStr">
        <is>
          <t>Fuel</t>
        </is>
      </c>
      <c r="C116" s="14" t="inlineStr">
        <is>
          <t>Site fuel week Jun16-21</t>
        </is>
      </c>
      <c r="D116" s="14" t="inlineStr">
        <is>
          <t>Gas station</t>
        </is>
      </c>
      <c r="E116" s="15" t="n">
        <v>40</v>
      </c>
      <c r="F116" s="16" t="inlineStr">
        <is>
          <t>cash</t>
        </is>
      </c>
      <c r="G116" s="16" t="inlineStr">
        <is>
          <t>Yes</t>
        </is>
      </c>
      <c r="H116" s="17" t="inlineStr">
        <is>
          <t>Paid</t>
        </is>
      </c>
      <c r="I116" s="14" t="inlineStr">
        <is>
          <t>2026-06-22</t>
        </is>
      </c>
    </row>
    <row r="117">
      <c r="A117" s="14" t="inlineStr">
        <is>
          <t>2026-06-24</t>
        </is>
      </c>
      <c r="B117" s="14" t="inlineStr">
        <is>
          <t>Materials</t>
        </is>
      </c>
      <c r="C117" s="14" t="inlineStr">
        <is>
          <t>Kairis debt settlement (old bal+materials)</t>
        </is>
      </c>
      <c r="D117" s="14" t="inlineStr">
        <is>
          <t>Kairis</t>
        </is>
      </c>
      <c r="E117" s="15" t="n">
        <v>1800</v>
      </c>
      <c r="F117" s="16" t="inlineStr">
        <is>
          <t>cash</t>
        </is>
      </c>
      <c r="G117" s="16" t="inlineStr">
        <is>
          <t>Yes</t>
        </is>
      </c>
      <c r="H117" s="17" t="inlineStr">
        <is>
          <t>Paid</t>
        </is>
      </c>
      <c r="I117" s="14" t="inlineStr">
        <is>
          <t>2026-06-24</t>
        </is>
      </c>
    </row>
    <row r="118">
      <c r="A118" s="14" t="inlineStr">
        <is>
          <t>2026-06-24</t>
        </is>
      </c>
      <c r="B118" s="14" t="inlineStr">
        <is>
          <t>Materials</t>
        </is>
      </c>
      <c r="C118" s="14" t="inlineStr">
        <is>
          <t>Beam (structural) + rendering materials</t>
        </is>
      </c>
      <c r="D118" s="14" t="inlineStr">
        <is>
          <t>Kairis</t>
        </is>
      </c>
      <c r="E118" s="15" t="n">
        <v>420</v>
      </c>
      <c r="F118" s="16" t="inlineStr">
        <is>
          <t>cash</t>
        </is>
      </c>
      <c r="G118" s="16" t="inlineStr">
        <is>
          <t>Yes</t>
        </is>
      </c>
      <c r="H118" s="17" t="inlineStr">
        <is>
          <t>Paid</t>
        </is>
      </c>
      <c r="I118" s="14" t="inlineStr">
        <is>
          <t>2026-06-24</t>
        </is>
      </c>
    </row>
    <row r="119">
      <c r="A119" s="14" t="inlineStr">
        <is>
          <t>2026-06-25</t>
        </is>
      </c>
      <c r="B119" s="14" t="inlineStr">
        <is>
          <t>Furniture</t>
        </is>
      </c>
      <c r="C119" s="14" t="inlineStr">
        <is>
          <t>Custom mattress - Yael unit (195x170 30cm)</t>
        </is>
      </c>
      <c r="D119" s="14" t="inlineStr">
        <is>
          <t>Local mfr</t>
        </is>
      </c>
      <c r="E119" s="15" t="n">
        <v>400</v>
      </c>
      <c r="F119" s="16" t="inlineStr">
        <is>
          <t>cash</t>
        </is>
      </c>
      <c r="G119" s="16" t="inlineStr">
        <is>
          <t>Yes</t>
        </is>
      </c>
      <c r="H119" s="17" t="inlineStr">
        <is>
          <t>Paid</t>
        </is>
      </c>
      <c r="I119" s="14" t="inlineStr">
        <is>
          <t>2026-06-25</t>
        </is>
      </c>
    </row>
    <row r="120">
      <c r="A120" s="14" t="inlineStr">
        <is>
          <t>2026-06-27</t>
        </is>
      </c>
      <c r="B120" s="14" t="inlineStr">
        <is>
          <t>Materials</t>
        </is>
      </c>
      <c r="C120" s="14" t="inlineStr">
        <is>
          <t>Cleaning materials - Yael unit (Jun 27)</t>
        </is>
      </c>
      <c r="D120" s="14" t="inlineStr">
        <is>
          <t>Supplier</t>
        </is>
      </c>
      <c r="E120" s="15" t="n">
        <v>150</v>
      </c>
      <c r="F120" s="16" t="inlineStr">
        <is>
          <t>cash</t>
        </is>
      </c>
      <c r="G120" s="16" t="inlineStr">
        <is>
          <t>Yes</t>
        </is>
      </c>
      <c r="H120" s="17" t="inlineStr">
        <is>
          <t>Paid</t>
        </is>
      </c>
      <c r="I120" s="14" t="inlineStr">
        <is>
          <t>2026-06-27</t>
        </is>
      </c>
    </row>
    <row r="121">
      <c r="A121" s="14" t="inlineStr">
        <is>
          <t>2026-07-05</t>
        </is>
      </c>
      <c r="B121" s="14" t="inlineStr">
        <is>
          <t>Materials</t>
        </is>
      </c>
      <c r="C121" s="14" t="inlineStr">
        <is>
          <t>Sand and gravel - week Jun29-Jul5</t>
        </is>
      </c>
      <c r="D121" s="14" t="inlineStr">
        <is>
          <t>Supplier</t>
        </is>
      </c>
      <c r="E121" s="15" t="n">
        <v>150</v>
      </c>
      <c r="F121" s="16" t="inlineStr">
        <is>
          <t>cash</t>
        </is>
      </c>
      <c r="G121" s="16" t="inlineStr">
        <is>
          <t>Yes</t>
        </is>
      </c>
      <c r="H121" s="17" t="inlineStr">
        <is>
          <t>Paid</t>
        </is>
      </c>
      <c r="I121" s="14" t="inlineStr">
        <is>
          <t>2026-07-10</t>
        </is>
      </c>
    </row>
    <row r="122">
      <c r="A122" s="14" t="inlineStr">
        <is>
          <t>2026-07-05</t>
        </is>
      </c>
      <c r="B122" s="14" t="inlineStr">
        <is>
          <t>Fuel</t>
        </is>
      </c>
      <c r="C122" s="14" t="inlineStr">
        <is>
          <t>Fuel - concrete mixers week Jun29-Jul5</t>
        </is>
      </c>
      <c r="D122" s="14" t="inlineStr">
        <is>
          <t>Gas station</t>
        </is>
      </c>
      <c r="E122" s="15" t="n">
        <v>40</v>
      </c>
      <c r="F122" s="16" t="inlineStr">
        <is>
          <t>cash</t>
        </is>
      </c>
      <c r="G122" s="16" t="inlineStr">
        <is>
          <t>Yes</t>
        </is>
      </c>
      <c r="H122" s="17" t="inlineStr">
        <is>
          <t>Paid</t>
        </is>
      </c>
      <c r="I122" s="14" t="inlineStr">
        <is>
          <t>2026-07-10</t>
        </is>
      </c>
    </row>
    <row r="123">
      <c r="A123" s="14" t="inlineStr">
        <is>
          <t>2026-07-05</t>
        </is>
      </c>
      <c r="B123" s="14" t="inlineStr">
        <is>
          <t>Materials</t>
        </is>
      </c>
      <c r="C123" s="14" t="inlineStr">
        <is>
          <t>Steel reinforcement - wall bond beams above door openings</t>
        </is>
      </c>
      <c r="D123" s="14" t="inlineStr">
        <is>
          <t>Supplier</t>
        </is>
      </c>
      <c r="E123" s="15" t="n">
        <v>400</v>
      </c>
      <c r="F123" s="16" t="inlineStr">
        <is>
          <t>cash</t>
        </is>
      </c>
      <c r="G123" s="16" t="inlineStr">
        <is>
          <t>Yes</t>
        </is>
      </c>
      <c r="H123" s="17" t="inlineStr">
        <is>
          <t>Paid</t>
        </is>
      </c>
      <c r="I123" s="14" t="inlineStr">
        <is>
          <t>2026-07-10</t>
        </is>
      </c>
    </row>
    <row r="124">
      <c r="A124" s="14" t="inlineStr">
        <is>
          <t>2026-07-05</t>
        </is>
      </c>
      <c r="B124" s="14" t="inlineStr">
        <is>
          <t>Materials</t>
        </is>
      </c>
      <c r="C124" s="14" t="inlineStr">
        <is>
          <t>Kairis - column reinforcement steel, cement, resin anchors</t>
        </is>
      </c>
      <c r="D124" s="14" t="inlineStr">
        <is>
          <t>Kairis</t>
        </is>
      </c>
      <c r="E124" s="15" t="n">
        <v>1800</v>
      </c>
      <c r="F124" s="16" t="inlineStr">
        <is>
          <t>cash</t>
        </is>
      </c>
      <c r="G124" s="16" t="inlineStr">
        <is>
          <t>Yes</t>
        </is>
      </c>
      <c r="H124" s="17" t="inlineStr">
        <is>
          <t>Paid</t>
        </is>
      </c>
      <c r="I124" s="14" t="inlineStr">
        <is>
          <t>2026-07-10</t>
        </is>
      </c>
    </row>
    <row r="125">
      <c r="A125" s="14" t="inlineStr">
        <is>
          <t>2026-07-05</t>
        </is>
      </c>
      <c r="B125" s="14" t="inlineStr">
        <is>
          <t>Labour</t>
        </is>
      </c>
      <c r="C125" s="14" t="inlineStr">
        <is>
          <t>Workers wages - week Jun29-Jul5</t>
        </is>
      </c>
      <c r="D125" s="14" t="inlineStr">
        <is>
          <t>Workers</t>
        </is>
      </c>
      <c r="E125" s="15" t="n">
        <v>1910</v>
      </c>
      <c r="F125" s="16" t="inlineStr">
        <is>
          <t>cash</t>
        </is>
      </c>
      <c r="G125" s="16" t="inlineStr">
        <is>
          <t>Yes</t>
        </is>
      </c>
      <c r="H125" s="17" t="inlineStr">
        <is>
          <t>Paid</t>
        </is>
      </c>
      <c r="I125" s="14" t="inlineStr">
        <is>
          <t>2026-07-10</t>
        </is>
      </c>
    </row>
    <row r="126">
      <c r="A126" s="14" t="inlineStr">
        <is>
          <t>2026-07-10</t>
        </is>
      </c>
      <c r="B126" s="14" t="inlineStr">
        <is>
          <t>Materials</t>
        </is>
      </c>
      <c r="C126" s="14" t="inlineStr">
        <is>
          <t>Kairis - SikaGrout/reinforcement materials (partial payment toward new balance)</t>
        </is>
      </c>
      <c r="D126" s="14" t="inlineStr">
        <is>
          <t>Kairis</t>
        </is>
      </c>
      <c r="E126" s="15" t="n">
        <v>1700</v>
      </c>
      <c r="F126" s="16" t="inlineStr">
        <is>
          <t>cash</t>
        </is>
      </c>
      <c r="G126" s="16" t="inlineStr">
        <is>
          <t>Yes</t>
        </is>
      </c>
      <c r="H126" s="17" t="inlineStr">
        <is>
          <t>Paid</t>
        </is>
      </c>
      <c r="I126" s="14" t="inlineStr">
        <is>
          <t>2026-07-10</t>
        </is>
      </c>
    </row>
    <row r="127">
      <c r="A127" s="14" t="inlineStr">
        <is>
          <t>2026-07-12</t>
        </is>
      </c>
      <c r="B127" s="14" t="inlineStr">
        <is>
          <t>Labour</t>
        </is>
      </c>
      <c r="C127" s="14" t="inlineStr">
        <is>
          <t>Workers wages - week Jul7-12</t>
        </is>
      </c>
      <c r="D127" s="14" t="inlineStr">
        <is>
          <t>Workers</t>
        </is>
      </c>
      <c r="E127" s="15" t="n">
        <v>2150</v>
      </c>
      <c r="F127" s="16" t="inlineStr">
        <is>
          <t>cash</t>
        </is>
      </c>
      <c r="G127" s="16" t="inlineStr">
        <is>
          <t>Yes</t>
        </is>
      </c>
      <c r="H127" s="17" t="inlineStr">
        <is>
          <t>Paid</t>
        </is>
      </c>
      <c r="I127" s="14" t="inlineStr">
        <is>
          <t>2026-07-12</t>
        </is>
      </c>
    </row>
    <row r="128">
      <c r="A128" s="14" t="inlineStr">
        <is>
          <t>2026-07-19</t>
        </is>
      </c>
      <c r="B128" s="14" t="inlineStr">
        <is>
          <t>Labour</t>
        </is>
      </c>
      <c r="C128" s="14" t="inlineStr">
        <is>
          <t>Workers wages Mon-Wed - week Jul13-19</t>
        </is>
      </c>
      <c r="D128" s="14" t="inlineStr">
        <is>
          <t>Workers</t>
        </is>
      </c>
      <c r="E128" s="15" t="n">
        <v>900</v>
      </c>
      <c r="F128" s="16" t="inlineStr">
        <is>
          <t>cash</t>
        </is>
      </c>
      <c r="G128" s="16" t="inlineStr">
        <is>
          <t>Yes</t>
        </is>
      </c>
      <c r="H128" s="17" t="inlineStr">
        <is>
          <t>Paid</t>
        </is>
      </c>
      <c r="I128" s="14" t="inlineStr">
        <is>
          <t>2026-07-20</t>
        </is>
      </c>
    </row>
    <row r="129">
      <c r="A129" s="14" t="inlineStr">
        <is>
          <t>2026-07-19</t>
        </is>
      </c>
      <c r="B129" s="14" t="inlineStr">
        <is>
          <t>Equipment</t>
        </is>
      </c>
      <c r="C129" s="14" t="inlineStr">
        <is>
          <t>Concrete mixer - week Jul13-19</t>
        </is>
      </c>
      <c r="D129" s="14" t="inlineStr">
        <is>
          <t>Site</t>
        </is>
      </c>
      <c r="E129" s="15" t="n">
        <v>20</v>
      </c>
      <c r="F129" s="16" t="inlineStr">
        <is>
          <t>cash</t>
        </is>
      </c>
      <c r="G129" s="16" t="inlineStr">
        <is>
          <t>Yes</t>
        </is>
      </c>
      <c r="H129" s="17" t="inlineStr">
        <is>
          <t>Paid</t>
        </is>
      </c>
      <c r="I129" s="14" t="inlineStr">
        <is>
          <t>2026-07-20</t>
        </is>
      </c>
    </row>
    <row r="130">
      <c r="A130" s="14" t="inlineStr">
        <is>
          <t>2026-07-19</t>
        </is>
      </c>
      <c r="B130" s="14" t="inlineStr">
        <is>
          <t>Materials</t>
        </is>
      </c>
      <c r="C130" s="14" t="inlineStr">
        <is>
          <t>Binding wire and steel-tying materials - week Jul13-19</t>
        </is>
      </c>
      <c r="D130" s="14" t="inlineStr">
        <is>
          <t>Supplier</t>
        </is>
      </c>
      <c r="E130" s="15" t="n">
        <v>65</v>
      </c>
      <c r="F130" s="16" t="inlineStr">
        <is>
          <t>cash</t>
        </is>
      </c>
      <c r="G130" s="16" t="inlineStr">
        <is>
          <t>Yes</t>
        </is>
      </c>
      <c r="H130" s="17" t="inlineStr">
        <is>
          <t>Paid</t>
        </is>
      </c>
      <c r="I130" s="14" t="inlineStr">
        <is>
          <t>2026-07-20</t>
        </is>
      </c>
    </row>
    <row r="131">
      <c r="A131" s="14" t="inlineStr">
        <is>
          <t>2026-07-23</t>
        </is>
      </c>
      <c r="B131" s="14" t="inlineStr">
        <is>
          <t>Materials</t>
        </is>
      </c>
      <c r="C131" s="14" t="inlineStr">
        <is>
          <t>Kairis - cash payment toward outstanding materials debt (applied to column/beam debt + additional item)</t>
        </is>
      </c>
      <c r="D131" s="14" t="inlineStr">
        <is>
          <t>Kairis</t>
        </is>
      </c>
      <c r="E131" s="15" t="n">
        <v>3000</v>
      </c>
      <c r="F131" s="16" t="inlineStr">
        <is>
          <t>cash</t>
        </is>
      </c>
      <c r="G131" s="16" t="inlineStr">
        <is>
          <t>Yes</t>
        </is>
      </c>
      <c r="H131" s="17" t="inlineStr">
        <is>
          <t>Paid</t>
        </is>
      </c>
      <c r="I131" s="14" t="inlineStr">
        <is>
          <t>2026-07-23</t>
        </is>
      </c>
    </row>
    <row r="132">
      <c r="A132" s="14" t="inlineStr">
        <is>
          <t>2026-07-27</t>
        </is>
      </c>
      <c r="B132" s="14" t="inlineStr">
        <is>
          <t>Labour</t>
        </is>
      </c>
      <c r="C132" s="14" t="inlineStr">
        <is>
          <t>Workers wages + concrete mixer cost, week of Jul20-24 (small crew, few days on site)</t>
        </is>
      </c>
      <c r="D132" s="14" t="inlineStr">
        <is>
          <t>Site crew</t>
        </is>
      </c>
      <c r="E132" s="15" t="n">
        <v>680</v>
      </c>
      <c r="F132" s="16" t="inlineStr">
        <is>
          <t>cash</t>
        </is>
      </c>
      <c r="G132" s="16" t="inlineStr">
        <is>
          <t>Yes</t>
        </is>
      </c>
      <c r="H132" s="17" t="inlineStr">
        <is>
          <t>Paid</t>
        </is>
      </c>
      <c r="I132" s="14" t="inlineStr">
        <is>
          <t>2026-07-27</t>
        </is>
      </c>
    </row>
    <row r="133">
      <c r="A133" s="14" t="inlineStr">
        <is>
          <t>2026-07-29</t>
        </is>
      </c>
      <c r="B133" s="14" t="inlineStr">
        <is>
          <t>Materials</t>
        </is>
      </c>
      <c r="C133" s="14" t="inlineStr">
        <is>
          <t>Kairis - cash payment toward outstanding materials debt (remainder applied to next SikaGrout order)</t>
        </is>
      </c>
      <c r="D133" s="14" t="inlineStr">
        <is>
          <t>Kairis</t>
        </is>
      </c>
      <c r="E133" s="15" t="n">
        <v>3000</v>
      </c>
      <c r="F133" s="16" t="inlineStr">
        <is>
          <t>cash</t>
        </is>
      </c>
      <c r="G133" s="16" t="inlineStr">
        <is>
          <t>Yes</t>
        </is>
      </c>
      <c r="H133" s="17" t="inlineStr">
        <is>
          <t>Paid</t>
        </is>
      </c>
      <c r="I133" s="14" t="inlineStr">
        <is>
          <t>2026-07-29</t>
        </is>
      </c>
    </row>
    <row r="134">
      <c r="A134" s="14" t="inlineStr">
        <is>
          <t>2026-09-25</t>
        </is>
      </c>
      <c r="B134" s="14" t="inlineStr">
        <is>
          <t>Materials</t>
        </is>
      </c>
      <c r="C134" s="14" t="inlineStr">
        <is>
          <t>Kairis - cash payment toward SikaGrout order balance (Vicky Sep 29: balance now EUR4,400 after this payment)</t>
        </is>
      </c>
      <c r="D134" s="14" t="inlineStr">
        <is>
          <t>Kairis</t>
        </is>
      </c>
      <c r="E134" s="15" t="n">
        <v>2350</v>
      </c>
      <c r="F134" s="16" t="inlineStr">
        <is>
          <t>cash</t>
        </is>
      </c>
      <c r="G134" s="16" t="inlineStr">
        <is>
          <t>Yes</t>
        </is>
      </c>
      <c r="H134" s="17" t="inlineStr">
        <is>
          <t>Paid</t>
        </is>
      </c>
      <c r="I134" s="14" t="inlineStr">
        <is>
          <t>2026-09-25</t>
        </is>
      </c>
    </row>
    <row r="135">
      <c r="A135" s="14" t="inlineStr">
        <is>
          <t>2026-09-25</t>
        </is>
      </c>
      <c r="B135" s="14" t="inlineStr">
        <is>
          <t>Other</t>
        </is>
      </c>
      <c r="C135" s="14" t="inlineStr">
        <is>
          <t>Remainder of Sep 25 EUR3,000 NBG withdrawal - cash float, allocation TBC (nails/steel strips ~EUR45, mixer petrol; possibly water fee EUR400 / ELEC deposit)</t>
        </is>
      </c>
      <c r="D135" s="14" t="inlineStr">
        <is>
          <t>Vicky (cash float)</t>
        </is>
      </c>
      <c r="E135" s="15" t="n">
        <v>650</v>
      </c>
      <c r="F135" s="16" t="inlineStr">
        <is>
          <t>cash</t>
        </is>
      </c>
      <c r="G135" s="16" t="inlineStr">
        <is>
          <t>Yes</t>
        </is>
      </c>
      <c r="H135" s="17" t="inlineStr">
        <is>
          <t>Paid</t>
        </is>
      </c>
      <c r="I135" s="14" t="inlineStr">
        <is>
          <t>2026-09-25</t>
        </is>
      </c>
    </row>
    <row r="136">
      <c r="A136" s="14" t="inlineStr">
        <is>
          <t>2026-09-29</t>
        </is>
      </c>
      <c r="B136" s="14" t="inlineStr">
        <is>
          <t>Materials</t>
        </is>
      </c>
      <c r="C136" s="14" t="inlineStr">
        <is>
          <t>Kairis - EUR1,000 payment toward SikaGrout balance from Sep 29 EUR3,000 withdrawal (inferred: NBG balance Oct 5 ties to three EUR3,000 withdrawals since Jul 29)</t>
        </is>
      </c>
      <c r="D136" s="14" t="inlineStr">
        <is>
          <t>Kairis</t>
        </is>
      </c>
      <c r="E136" s="15" t="n">
        <v>1000</v>
      </c>
      <c r="F136" s="16" t="inlineStr">
        <is>
          <t>cash</t>
        </is>
      </c>
      <c r="G136" s="16" t="inlineStr">
        <is>
          <t>Yes</t>
        </is>
      </c>
      <c r="H136" s="17" t="inlineStr">
        <is>
          <t>Paid</t>
        </is>
      </c>
      <c r="I136" s="14" t="inlineStr">
        <is>
          <t>2026-09-29</t>
        </is>
      </c>
    </row>
    <row r="137">
      <c r="A137" s="14" t="inlineStr">
        <is>
          <t>2026-10-03</t>
        </is>
      </c>
      <c r="B137" s="14" t="inlineStr">
        <is>
          <t>Labour</t>
        </is>
      </c>
      <c r="C137" s="14" t="inlineStr">
        <is>
          <t>Workers wages - week Sep 28-Oct 3 (4/4/3/4/3/3 workers Mon-Sat)</t>
        </is>
      </c>
      <c r="D137" s="14" t="inlineStr">
        <is>
          <t>Site crew</t>
        </is>
      </c>
      <c r="E137" s="15" t="n">
        <v>1510</v>
      </c>
      <c r="F137" s="16" t="inlineStr">
        <is>
          <t>cash</t>
        </is>
      </c>
      <c r="G137" s="16" t="inlineStr">
        <is>
          <t>Yes</t>
        </is>
      </c>
      <c r="H137" s="17" t="inlineStr">
        <is>
          <t>Paid</t>
        </is>
      </c>
      <c r="I137" s="14" t="inlineStr">
        <is>
          <t>2026-10-03</t>
        </is>
      </c>
    </row>
    <row r="138">
      <c r="A138" s="14" t="inlineStr">
        <is>
          <t>2026-10-03</t>
        </is>
      </c>
      <c r="B138" s="14" t="inlineStr">
        <is>
          <t>Fuel</t>
        </is>
      </c>
      <c r="C138" s="14" t="inlineStr">
        <is>
          <t>Fuel - week Sep 28-Oct 3 (EUR2.20/l)</t>
        </is>
      </c>
      <c r="D138" s="14" t="inlineStr">
        <is>
          <t>Site</t>
        </is>
      </c>
      <c r="E138" s="15" t="n">
        <v>50</v>
      </c>
      <c r="F138" s="16" t="inlineStr">
        <is>
          <t>cash</t>
        </is>
      </c>
      <c r="G138" s="16" t="inlineStr">
        <is>
          <t>Yes</t>
        </is>
      </c>
      <c r="H138" s="17" t="inlineStr">
        <is>
          <t>Paid</t>
        </is>
      </c>
      <c r="I138" s="14" t="inlineStr">
        <is>
          <t>2026-10-03</t>
        </is>
      </c>
    </row>
    <row r="139">
      <c r="A139" s="14" t="inlineStr">
        <is>
          <t>2026-10-03</t>
        </is>
      </c>
      <c r="B139" s="14" t="inlineStr">
        <is>
          <t>Materials</t>
        </is>
      </c>
      <c r="C139" s="14" t="inlineStr">
        <is>
          <t>Construction materials - week Sep 28-Oct 3</t>
        </is>
      </c>
      <c r="D139" s="14" t="inlineStr">
        <is>
          <t>Supplier</t>
        </is>
      </c>
      <c r="E139" s="15" t="n">
        <v>150</v>
      </c>
      <c r="F139" s="16" t="inlineStr">
        <is>
          <t>cash</t>
        </is>
      </c>
      <c r="G139" s="16" t="inlineStr">
        <is>
          <t>Yes</t>
        </is>
      </c>
      <c r="H139" s="17" t="inlineStr">
        <is>
          <t>Paid</t>
        </is>
      </c>
      <c r="I139" s="14" t="inlineStr">
        <is>
          <t>2026-10-03</t>
        </is>
      </c>
    </row>
    <row r="140">
      <c r="A140" s="14" t="inlineStr">
        <is>
          <t>2026-10-03</t>
        </is>
      </c>
      <c r="B140" s="14" t="inlineStr">
        <is>
          <t>Materials</t>
        </is>
      </c>
      <c r="C140" s="14" t="inlineStr">
        <is>
          <t>Kairis - EUR1,050 payment toward SikaGrout debt (EUR3,000 -&gt; EUR1,950 remaining)</t>
        </is>
      </c>
      <c r="D140" s="14" t="inlineStr">
        <is>
          <t>Kairis</t>
        </is>
      </c>
      <c r="E140" s="15" t="n">
        <v>1050</v>
      </c>
      <c r="F140" s="16" t="inlineStr">
        <is>
          <t>cash</t>
        </is>
      </c>
      <c r="G140" s="16" t="inlineStr">
        <is>
          <t>Yes</t>
        </is>
      </c>
      <c r="H140" s="17" t="inlineStr">
        <is>
          <t>Paid</t>
        </is>
      </c>
      <c r="I140" s="14" t="inlineStr">
        <is>
          <t>2026-10-03</t>
        </is>
      </c>
    </row>
    <row r="141">
      <c r="A141" s="14" t="inlineStr">
        <is>
          <t>2026-06-28</t>
        </is>
      </c>
      <c r="B141" s="14" t="inlineStr">
        <is>
          <t>Materials</t>
        </is>
      </c>
      <c r="C141" s="14" t="inlineStr">
        <is>
          <t>Materials - week Jun25-28 (Yael unit completion)</t>
        </is>
      </c>
      <c r="D141" s="14" t="inlineStr">
        <is>
          <t>Kairis</t>
        </is>
      </c>
      <c r="E141" s="15" t="n">
        <v>1500</v>
      </c>
      <c r="F141" s="16" t="inlineStr">
        <is>
          <t>cash</t>
        </is>
      </c>
      <c r="G141" s="16" t="inlineStr">
        <is>
          <t>Yes</t>
        </is>
      </c>
      <c r="H141" s="17" t="inlineStr">
        <is>
          <t>Paid</t>
        </is>
      </c>
      <c r="I141" s="14" t="inlineStr">
        <is>
          <t>2026-06-29</t>
        </is>
      </c>
    </row>
    <row r="142">
      <c r="A142" s="14" t="inlineStr">
        <is>
          <t>2026-06-28</t>
        </is>
      </c>
      <c r="B142" s="14" t="inlineStr">
        <is>
          <t>Plumbing</t>
        </is>
      </c>
      <c r="C142" s="14" t="inlineStr">
        <is>
          <t>Plumber - Yael unit completion</t>
        </is>
      </c>
      <c r="D142" s="14" t="inlineStr">
        <is>
          <t>Plumber</t>
        </is>
      </c>
      <c r="E142" s="15" t="n">
        <v>200</v>
      </c>
      <c r="F142" s="16" t="inlineStr">
        <is>
          <t>cash</t>
        </is>
      </c>
      <c r="G142" s="16" t="inlineStr">
        <is>
          <t>Yes</t>
        </is>
      </c>
      <c r="H142" s="17" t="inlineStr">
        <is>
          <t>Paid</t>
        </is>
      </c>
      <c r="I142" s="14" t="inlineStr">
        <is>
          <t>2026-06-29</t>
        </is>
      </c>
    </row>
    <row r="143">
      <c r="A143" s="14" t="inlineStr">
        <is>
          <t>2026-06-28</t>
        </is>
      </c>
      <c r="B143" s="14" t="inlineStr">
        <is>
          <t>Labour</t>
        </is>
      </c>
      <c r="C143" s="14" t="inlineStr">
        <is>
          <t>Carpenter - Yael unit (bedside tables/countertop/door)</t>
        </is>
      </c>
      <c r="D143" s="14" t="inlineStr">
        <is>
          <t>Carpenter</t>
        </is>
      </c>
      <c r="E143" s="15" t="n">
        <v>250</v>
      </c>
      <c r="F143" s="16" t="inlineStr">
        <is>
          <t>cash</t>
        </is>
      </c>
      <c r="G143" s="16" t="inlineStr">
        <is>
          <t>Yes</t>
        </is>
      </c>
      <c r="H143" s="17" t="inlineStr">
        <is>
          <t>Paid</t>
        </is>
      </c>
      <c r="I143" s="14" t="inlineStr">
        <is>
          <t>2026-06-29</t>
        </is>
      </c>
    </row>
    <row r="144">
      <c r="A144" s="14" t="inlineStr">
        <is>
          <t>2026-06-28</t>
        </is>
      </c>
      <c r="B144" s="14" t="inlineStr">
        <is>
          <t>Materials</t>
        </is>
      </c>
      <c r="C144" s="14" t="inlineStr">
        <is>
          <t>Marble for shower - Yael unit</t>
        </is>
      </c>
      <c r="D144" s="14" t="inlineStr">
        <is>
          <t>Supplier</t>
        </is>
      </c>
      <c r="E144" s="15" t="n">
        <v>50</v>
      </c>
      <c r="F144" s="16" t="inlineStr">
        <is>
          <t>cash</t>
        </is>
      </c>
      <c r="G144" s="16" t="inlineStr">
        <is>
          <t>Yes</t>
        </is>
      </c>
      <c r="H144" s="17" t="inlineStr">
        <is>
          <t>Paid</t>
        </is>
      </c>
      <c r="I144" s="14" t="inlineStr">
        <is>
          <t>2026-06-29</t>
        </is>
      </c>
    </row>
    <row r="145">
      <c r="A145" s="14" t="inlineStr">
        <is>
          <t>2026-06-28</t>
        </is>
      </c>
      <c r="B145" s="14" t="inlineStr">
        <is>
          <t>Fuel</t>
        </is>
      </c>
      <c r="C145" s="14" t="inlineStr">
        <is>
          <t>Site fuel week Jun25-28</t>
        </is>
      </c>
      <c r="D145" s="14" t="inlineStr">
        <is>
          <t>Vicky</t>
        </is>
      </c>
      <c r="E145" s="15" t="n">
        <v>40</v>
      </c>
      <c r="F145" s="16" t="inlineStr">
        <is>
          <t>cash</t>
        </is>
      </c>
      <c r="G145" s="16" t="inlineStr">
        <is>
          <t>Yes</t>
        </is>
      </c>
      <c r="H145" s="17" t="inlineStr">
        <is>
          <t>Paid</t>
        </is>
      </c>
      <c r="I145" s="14" t="inlineStr">
        <is>
          <t>2026-06-29</t>
        </is>
      </c>
    </row>
    <row r="146">
      <c r="A146" s="14" t="inlineStr">
        <is>
          <t>2026-06-28</t>
        </is>
      </c>
      <c r="B146" s="14" t="inlineStr">
        <is>
          <t>Labour</t>
        </is>
      </c>
      <c r="C146" s="14" t="inlineStr">
        <is>
          <t>Workers week Jun25-28 (Yael unit + site)</t>
        </is>
      </c>
      <c r="D146" s="14" t="inlineStr">
        <is>
          <t>Workers</t>
        </is>
      </c>
      <c r="E146" s="15" t="n">
        <v>2600</v>
      </c>
      <c r="F146" s="16" t="inlineStr">
        <is>
          <t>cash</t>
        </is>
      </c>
      <c r="G146" s="16" t="inlineStr">
        <is>
          <t>Yes</t>
        </is>
      </c>
      <c r="H146" s="17" t="inlineStr">
        <is>
          <t>Paid</t>
        </is>
      </c>
      <c r="I146" s="14" t="inlineStr">
        <is>
          <t>2026-06-29</t>
        </is>
      </c>
    </row>
    <row r="147">
      <c r="A147" s="14" t="inlineStr">
        <is>
          <t>2026-05-23</t>
        </is>
      </c>
      <c r="B147" s="14" t="inlineStr">
        <is>
          <t>Electrical</t>
        </is>
      </c>
      <c r="C147" s="14" t="inlineStr">
        <is>
          <t>Electrician - 2 apts+2 storages+outdoor</t>
        </is>
      </c>
      <c r="D147" s="14" t="inlineStr">
        <is>
          <t>Electrician</t>
        </is>
      </c>
      <c r="E147" s="15" t="n">
        <v>9500</v>
      </c>
      <c r="F147" s="16" t="inlineStr">
        <is>
          <t>cash</t>
        </is>
      </c>
      <c r="G147" s="16" t="inlineStr">
        <is>
          <t>Yes</t>
        </is>
      </c>
      <c r="H147" s="18" t="inlineStr">
        <is>
          <t>Committed</t>
        </is>
      </c>
      <c r="I147" s="14" t="inlineStr"/>
    </row>
    <row r="148">
      <c r="A148" s="14" t="inlineStr">
        <is>
          <t>2026-05-23</t>
        </is>
      </c>
      <c r="B148" s="14" t="inlineStr">
        <is>
          <t>Electrical</t>
        </is>
      </c>
      <c r="C148" s="14" t="inlineStr">
        <is>
          <t>Electrical plans - submitted to authority</t>
        </is>
      </c>
      <c r="D148" s="14" t="inlineStr">
        <is>
          <t>Electrician</t>
        </is>
      </c>
      <c r="E148" s="15" t="n">
        <v>1000</v>
      </c>
      <c r="F148" s="16" t="inlineStr">
        <is>
          <t>-</t>
        </is>
      </c>
      <c r="G148" s="16" t="inlineStr">
        <is>
          <t>Yes</t>
        </is>
      </c>
      <c r="H148" s="18" t="inlineStr">
        <is>
          <t>Committed</t>
        </is>
      </c>
      <c r="I148" s="14" t="inlineStr"/>
    </row>
    <row r="149">
      <c r="A149" s="14" t="inlineStr">
        <is>
          <t>2026-05-23</t>
        </is>
      </c>
      <c r="B149" s="14" t="inlineStr">
        <is>
          <t>Electrical</t>
        </is>
      </c>
      <c r="C149" s="14" t="inlineStr">
        <is>
          <t>Three-phase meter (Kobi's name)</t>
        </is>
      </c>
      <c r="D149" s="14" t="inlineStr">
        <is>
          <t>Electrician</t>
        </is>
      </c>
      <c r="E149" s="15" t="n">
        <v>750</v>
      </c>
      <c r="F149" s="16" t="inlineStr">
        <is>
          <t>-</t>
        </is>
      </c>
      <c r="G149" s="16" t="inlineStr">
        <is>
          <t>Yes</t>
        </is>
      </c>
      <c r="H149" s="18" t="inlineStr">
        <is>
          <t>Committed</t>
        </is>
      </c>
      <c r="I149" s="14" t="inlineStr"/>
    </row>
    <row r="150">
      <c r="A150" s="14" t="inlineStr">
        <is>
          <t>2026-05-23</t>
        </is>
      </c>
      <c r="B150" s="14" t="inlineStr">
        <is>
          <t>Electrical</t>
        </is>
      </c>
      <c r="C150" s="14" t="inlineStr">
        <is>
          <t>Electrician advance - 130m piping reimb.</t>
        </is>
      </c>
      <c r="D150" s="14" t="inlineStr">
        <is>
          <t>Electrician</t>
        </is>
      </c>
      <c r="E150" s="15" t="n">
        <v>1000</v>
      </c>
      <c r="F150" s="16" t="inlineStr">
        <is>
          <t>cash</t>
        </is>
      </c>
      <c r="G150" s="16" t="inlineStr">
        <is>
          <t>Yes</t>
        </is>
      </c>
      <c r="H150" s="18" t="inlineStr">
        <is>
          <t>Committed</t>
        </is>
      </c>
      <c r="I150" s="14" t="inlineStr"/>
    </row>
    <row r="151">
      <c r="A151" s="14" t="inlineStr">
        <is>
          <t>2026-05-23</t>
        </is>
      </c>
      <c r="B151" s="14" t="inlineStr">
        <is>
          <t>Windows/Iron</t>
        </is>
      </c>
      <c r="C151" s="14" t="inlineStr">
        <is>
          <t>Metalworker - small storage door+window</t>
        </is>
      </c>
      <c r="D151" s="14" t="inlineStr">
        <is>
          <t>Metalworker</t>
        </is>
      </c>
      <c r="E151" s="15" t="n">
        <v>550</v>
      </c>
      <c r="F151" s="16" t="inlineStr">
        <is>
          <t>cash</t>
        </is>
      </c>
      <c r="G151" s="16" t="inlineStr">
        <is>
          <t>Yes</t>
        </is>
      </c>
      <c r="H151" s="18" t="inlineStr">
        <is>
          <t>Committed</t>
        </is>
      </c>
      <c r="I151" s="14" t="inlineStr"/>
    </row>
    <row r="152">
      <c r="A152" s="14" t="inlineStr">
        <is>
          <t>2026-06-15</t>
        </is>
      </c>
      <c r="B152" s="14" t="inlineStr">
        <is>
          <t>Site Works</t>
        </is>
      </c>
      <c r="C152" s="14" t="inlineStr">
        <is>
          <t>Excavator - road compaction (60t roller)</t>
        </is>
      </c>
      <c r="D152" s="14" t="inlineStr">
        <is>
          <t>Excavator</t>
        </is>
      </c>
      <c r="E152" s="15" t="n">
        <v>600</v>
      </c>
      <c r="F152" s="16" t="inlineStr">
        <is>
          <t>cash</t>
        </is>
      </c>
      <c r="G152" s="16" t="inlineStr">
        <is>
          <t>Yes</t>
        </is>
      </c>
      <c r="H152" s="18" t="inlineStr">
        <is>
          <t>Committed</t>
        </is>
      </c>
      <c r="I152" s="14" t="inlineStr"/>
    </row>
    <row r="153">
      <c r="A153" s="14" t="inlineStr">
        <is>
          <t>2026-07-20</t>
        </is>
      </c>
      <c r="B153" s="14" t="inlineStr">
        <is>
          <t>Legal/Admin</t>
        </is>
      </c>
      <c r="C153" s="14" t="inlineStr">
        <is>
          <t>Worker insurance Apr-Jun - partial payment</t>
        </is>
      </c>
      <c r="D153" s="14" t="inlineStr">
        <is>
          <t>EFKA</t>
        </is>
      </c>
      <c r="E153" s="15" t="n">
        <v>1865</v>
      </c>
      <c r="F153" s="16" t="inlineStr">
        <is>
          <t>cash</t>
        </is>
      </c>
      <c r="G153" s="16" t="inlineStr">
        <is>
          <t>Yes</t>
        </is>
      </c>
      <c r="H153" s="17" t="inlineStr">
        <is>
          <t>Paid</t>
        </is>
      </c>
      <c r="I153" s="14" t="inlineStr">
        <is>
          <t>2026-07-20</t>
        </is>
      </c>
    </row>
    <row r="154">
      <c r="A154" s="14" t="inlineStr">
        <is>
          <t>2026-07-21</t>
        </is>
      </c>
      <c r="B154" s="14" t="inlineStr">
        <is>
          <t>Legal/Admin</t>
        </is>
      </c>
      <c r="C154" s="14" t="inlineStr">
        <is>
          <t>Worker insurance Apr-Jun - second partial payment</t>
        </is>
      </c>
      <c r="D154" s="14" t="inlineStr">
        <is>
          <t>EFKA</t>
        </is>
      </c>
      <c r="E154" s="15" t="n">
        <v>1990</v>
      </c>
      <c r="F154" s="16" t="inlineStr">
        <is>
          <t>cash</t>
        </is>
      </c>
      <c r="G154" s="16" t="inlineStr">
        <is>
          <t>Yes</t>
        </is>
      </c>
      <c r="H154" s="17" t="inlineStr">
        <is>
          <t>Paid</t>
        </is>
      </c>
      <c r="I154" s="14" t="inlineStr">
        <is>
          <t>2026-07-21</t>
        </is>
      </c>
    </row>
    <row r="155">
      <c r="A155" s="14" t="inlineStr">
        <is>
          <t>2026-06-25</t>
        </is>
      </c>
      <c r="B155" s="14" t="inlineStr">
        <is>
          <t>Legal/Admin</t>
        </is>
      </c>
      <c r="C155" s="14" t="inlineStr">
        <is>
          <t>Worker insurance Apr-Jun - remaining balance</t>
        </is>
      </c>
      <c r="D155" s="14" t="inlineStr">
        <is>
          <t>EFKA</t>
        </is>
      </c>
      <c r="E155" s="15" t="n">
        <v>3</v>
      </c>
      <c r="F155" s="16" t="inlineStr">
        <is>
          <t>-</t>
        </is>
      </c>
      <c r="G155" s="16" t="inlineStr">
        <is>
          <t>Yes</t>
        </is>
      </c>
      <c r="H155" s="18" t="inlineStr">
        <is>
          <t>Committed</t>
        </is>
      </c>
      <c r="I155" s="14" t="inlineStr"/>
    </row>
    <row r="156">
      <c r="A156" s="14" t="inlineStr">
        <is>
          <t>2026-07-19</t>
        </is>
      </c>
      <c r="B156" s="14" t="inlineStr">
        <is>
          <t>Materials</t>
        </is>
      </c>
      <c r="C156" s="14" t="inlineStr">
        <is>
          <t>Kairis - partial payment (ATM shortfall from last week)</t>
        </is>
      </c>
      <c r="D156" s="14" t="inlineStr">
        <is>
          <t>Kairis</t>
        </is>
      </c>
      <c r="E156" s="15" t="n">
        <v>150</v>
      </c>
      <c r="F156" s="16" t="inlineStr">
        <is>
          <t>cash</t>
        </is>
      </c>
      <c r="G156" s="16" t="inlineStr">
        <is>
          <t>Yes</t>
        </is>
      </c>
      <c r="H156" s="17" t="inlineStr">
        <is>
          <t>Paid</t>
        </is>
      </c>
      <c r="I156" s="14" t="inlineStr">
        <is>
          <t>2026-07-20</t>
        </is>
      </c>
    </row>
    <row r="157">
      <c r="A157" s="14" t="inlineStr">
        <is>
          <t>2026-06-24</t>
        </is>
      </c>
      <c r="B157" s="14" t="inlineStr">
        <is>
          <t>Materials</t>
        </is>
      </c>
      <c r="C157" s="14" t="inlineStr">
        <is>
          <t>Kairis - remaining balance</t>
        </is>
      </c>
      <c r="D157" s="14" t="inlineStr">
        <is>
          <t>Kairis</t>
        </is>
      </c>
      <c r="E157" s="15" t="n">
        <v>45</v>
      </c>
      <c r="F157" s="16" t="inlineStr">
        <is>
          <t>cash</t>
        </is>
      </c>
      <c r="G157" s="16" t="inlineStr">
        <is>
          <t>Yes</t>
        </is>
      </c>
      <c r="H157" s="18" t="inlineStr">
        <is>
          <t>Committed</t>
        </is>
      </c>
      <c r="I157" s="14" t="inlineStr"/>
    </row>
    <row r="158">
      <c r="A158" s="14" t="inlineStr">
        <is>
          <t>2026-07-11</t>
        </is>
      </c>
      <c r="B158" s="14" t="inlineStr">
        <is>
          <t>Materials</t>
        </is>
      </c>
      <c r="C158" s="14" t="inlineStr">
        <is>
          <t>Kairis - SikaGrout HP340 order (200 bags) + steel - partly delivered Sep; outstanding balance per Vicky Oct 3 EUR1,950 incl. EUR45 old balance (Sep 29 EUR4,400 -&gt; EUR3,000 before Oct 3 payment; EUR400 gap vs logged payments, see flag 13)</t>
        </is>
      </c>
      <c r="D158" s="14" t="inlineStr">
        <is>
          <t>Kairis</t>
        </is>
      </c>
      <c r="E158" s="15" t="n">
        <v>1905</v>
      </c>
      <c r="F158" s="16" t="inlineStr">
        <is>
          <t>cash</t>
        </is>
      </c>
      <c r="G158" s="16" t="inlineStr">
        <is>
          <t>Yes</t>
        </is>
      </c>
      <c r="H158" s="18" t="inlineStr">
        <is>
          <t>Committed</t>
        </is>
      </c>
      <c r="I158" s="14" t="inlineStr"/>
    </row>
    <row r="159">
      <c r="A159" s="14" t="inlineStr">
        <is>
          <t>2026-07-21</t>
        </is>
      </c>
      <c r="B159" s="14" t="inlineStr">
        <is>
          <t>Materials</t>
        </is>
      </c>
      <c r="C159" s="14" t="inlineStr">
        <is>
          <t>Kairis - partial payment toward column/beam debt</t>
        </is>
      </c>
      <c r="D159" s="14" t="inlineStr">
        <is>
          <t>Kairis</t>
        </is>
      </c>
      <c r="E159" s="15" t="n">
        <v>1000</v>
      </c>
      <c r="F159" s="16" t="inlineStr">
        <is>
          <t>cash</t>
        </is>
      </c>
      <c r="G159" s="16" t="inlineStr">
        <is>
          <t>Yes</t>
        </is>
      </c>
      <c r="H159" s="17" t="inlineStr">
        <is>
          <t>Paid</t>
        </is>
      </c>
      <c r="I159" s="14" t="inlineStr">
        <is>
          <t>2026-07-21</t>
        </is>
      </c>
    </row>
    <row r="160">
      <c r="A160" s="14" t="inlineStr">
        <is>
          <t>2026-09-12</t>
        </is>
      </c>
      <c r="B160" s="14" t="inlineStr">
        <is>
          <t>Plumbing</t>
        </is>
      </c>
      <c r="C160" s="14" t="inlineStr">
        <is>
          <t>Water connection fee (mains) + water meter purchase - one-off, now connected to mains supply</t>
        </is>
      </c>
      <c r="D160" s="14" t="inlineStr">
        <is>
          <t>Accountant (POS transfer attempted Sep 12, declined - payment method to be resolved)</t>
        </is>
      </c>
      <c r="E160" s="15" t="n">
        <v>400</v>
      </c>
      <c r="F160" s="16" t="inlineStr">
        <is>
          <t>pending</t>
        </is>
      </c>
      <c r="G160" s="16" t="inlineStr">
        <is>
          <t>No</t>
        </is>
      </c>
      <c r="H160" s="18" t="inlineStr">
        <is>
          <t>Committed</t>
        </is>
      </c>
      <c r="I160" s="14" t="inlineStr"/>
    </row>
    <row r="161">
      <c r="A161" s="14" t="inlineStr">
        <is>
          <t>2026-09-29</t>
        </is>
      </c>
      <c r="B161" s="14" t="inlineStr">
        <is>
          <t>Labour</t>
        </is>
      </c>
      <c r="C161" s="14" t="inlineStr">
        <is>
          <t>Workers wages - week of Sep 21-27 (crew back on site Sep 24)</t>
        </is>
      </c>
      <c r="D161" s="14" t="inlineStr">
        <is>
          <t>Site crew</t>
        </is>
      </c>
      <c r="E161" s="15" t="n">
        <v>950</v>
      </c>
      <c r="F161" s="16" t="inlineStr">
        <is>
          <t>cash</t>
        </is>
      </c>
      <c r="G161" s="16" t="inlineStr">
        <is>
          <t>Yes</t>
        </is>
      </c>
      <c r="H161" s="17" t="inlineStr">
        <is>
          <t>Paid</t>
        </is>
      </c>
      <c r="I161" s="14" t="inlineStr">
        <is>
          <t>2026-09-29</t>
        </is>
      </c>
    </row>
    <row r="162">
      <c r="A162" s="14" t="inlineStr">
        <is>
          <t>2026-09-29</t>
        </is>
      </c>
      <c r="B162" s="14" t="inlineStr">
        <is>
          <t>Materials</t>
        </is>
      </c>
      <c r="C162" s="14" t="inlineStr">
        <is>
          <t>Reinforcement steel, column ties, 15x D16 6m connecting bars + nails</t>
        </is>
      </c>
      <c r="D162" s="14" t="inlineStr">
        <is>
          <t>Supplier</t>
        </is>
      </c>
      <c r="E162" s="15" t="n">
        <v>750</v>
      </c>
      <c r="F162" s="16" t="inlineStr">
        <is>
          <t>cash</t>
        </is>
      </c>
      <c r="G162" s="16" t="inlineStr">
        <is>
          <t>Yes</t>
        </is>
      </c>
      <c r="H162" s="17" t="inlineStr">
        <is>
          <t>Paid</t>
        </is>
      </c>
      <c r="I162" s="14" t="inlineStr">
        <is>
          <t>2026-09-29</t>
        </is>
      </c>
    </row>
    <row r="163">
      <c r="A163" s="14" t="inlineStr">
        <is>
          <t>2026-09-29</t>
        </is>
      </c>
      <c r="B163" s="14" t="inlineStr">
        <is>
          <t>Fuel</t>
        </is>
      </c>
      <c r="C163" s="14" t="inlineStr">
        <is>
          <t>Petrol for concrete mixer (column pour)</t>
        </is>
      </c>
      <c r="D163" s="14" t="inlineStr">
        <is>
          <t>Site</t>
        </is>
      </c>
      <c r="E163" s="15" t="n">
        <v>40</v>
      </c>
      <c r="F163" s="16" t="inlineStr">
        <is>
          <t>cash</t>
        </is>
      </c>
      <c r="G163" s="16" t="inlineStr">
        <is>
          <t>Yes</t>
        </is>
      </c>
      <c r="H163" s="17" t="inlineStr">
        <is>
          <t>Paid</t>
        </is>
      </c>
      <c r="I163" s="14" t="inlineStr">
        <is>
          <t>2026-09-29</t>
        </is>
      </c>
    </row>
    <row r="164">
      <c r="A164" s="14" t="inlineStr">
        <is>
          <t>2026-09-26</t>
        </is>
      </c>
      <c r="B164" s="14" t="inlineStr">
        <is>
          <t>Electrical</t>
        </is>
      </c>
      <c r="C164" s="14" t="inlineStr">
        <is>
          <t>Electricity provider - 50% advance to reactivate 1969 meter + relocate to lower entrance (incl. install permit + supply approval); Vicky paid Sep 26, covered by Sep 29 withdrawal</t>
        </is>
      </c>
      <c r="D164" s="14" t="inlineStr">
        <is>
          <t>Electricity provider</t>
        </is>
      </c>
      <c r="E164" s="15" t="n">
        <v>250</v>
      </c>
      <c r="F164" s="16" t="inlineStr">
        <is>
          <t>cash</t>
        </is>
      </c>
      <c r="G164" s="16" t="inlineStr">
        <is>
          <t>Yes</t>
        </is>
      </c>
      <c r="H164" s="17" t="inlineStr">
        <is>
          <t>Paid</t>
        </is>
      </c>
      <c r="I164" s="14" t="inlineStr">
        <is>
          <t>2026-09-29</t>
        </is>
      </c>
    </row>
    <row r="165">
      <c r="A165" s="14" t="inlineStr">
        <is>
          <t>2026-09-26</t>
        </is>
      </c>
      <c r="B165" s="14" t="inlineStr">
        <is>
          <t>Electrical</t>
        </is>
      </c>
      <c r="C165" s="14" t="inlineStr">
        <is>
          <t>Electricity provider - remaining 50% for meter reactivation/relocation (Vicky Oct 3: paying Oct 4 from Oct 3 withdrawal)</t>
        </is>
      </c>
      <c r="D165" s="14" t="inlineStr">
        <is>
          <t>Electricity provider</t>
        </is>
      </c>
      <c r="E165" s="15" t="n">
        <v>250</v>
      </c>
      <c r="F165" s="16" t="inlineStr">
        <is>
          <t>cash</t>
        </is>
      </c>
      <c r="G165" s="16" t="inlineStr">
        <is>
          <t>Yes</t>
        </is>
      </c>
      <c r="H165" s="17" t="inlineStr">
        <is>
          <t>Paid</t>
        </is>
      </c>
      <c r="I165" s="14" t="inlineStr">
        <is>
          <t>2026-10-04</t>
        </is>
      </c>
    </row>
    <row r="166">
      <c r="A166" s="14" t="inlineStr">
        <is>
          <t>2026-09-23</t>
        </is>
      </c>
      <c r="B166" s="14" t="inlineStr">
        <is>
          <t>Electrical</t>
        </is>
      </c>
      <c r="C166" s="14" t="inlineStr">
        <is>
          <t>Electricity bill (meter still in Anagnostou name) - Vicky to hand cash to Stathis Oct 2</t>
        </is>
      </c>
      <c r="D166" s="14" t="inlineStr">
        <is>
          <t>Anagnostou (Stathis)</t>
        </is>
      </c>
      <c r="E166" s="15" t="n">
        <v>192</v>
      </c>
      <c r="F166" s="16" t="inlineStr">
        <is>
          <t>cash</t>
        </is>
      </c>
      <c r="G166" s="16" t="inlineStr">
        <is>
          <t>Yes</t>
        </is>
      </c>
      <c r="H166" s="18" t="inlineStr">
        <is>
          <t>Committed</t>
        </is>
      </c>
      <c r="I166" s="14" t="inlineStr"/>
    </row>
    <row r="167">
      <c r="D167" s="19" t="inlineStr">
        <is>
          <t>PAID — total</t>
        </is>
      </c>
      <c r="E167" s="20">
        <f>SUMIF(H5:H166,"Paid",E5:E166)</f>
        <v/>
      </c>
    </row>
    <row r="168">
      <c r="D168" s="19" t="inlineStr">
        <is>
          <t>COMMITTED (approved, unpaid)</t>
        </is>
      </c>
      <c r="E168" s="21">
        <f>SUMIF(H5:H166,"Committed",E5:E166)</f>
        <v/>
      </c>
    </row>
    <row r="169">
      <c r="D169" s="22" t="inlineStr">
        <is>
          <t>PAID — from NBG (cash/transfer)</t>
        </is>
      </c>
      <c r="E169" s="23">
        <f>SUMIFS(E5:E166,H5:H166,"Paid",G5:G166,"Yes")</f>
        <v/>
      </c>
    </row>
    <row r="170">
      <c r="D170" s="22" t="inlineStr">
        <is>
          <t>PAID — outside NBG (Wise/card)</t>
        </is>
      </c>
      <c r="E170" s="23">
        <f>SUMIFS(E5:E166,H5:H166,"Paid",G5:G166,"No")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0" customWidth="1" min="3" max="3"/>
    <col width="46" customWidth="1" min="4" max="4"/>
    <col width="11" customWidth="1" min="5" max="5"/>
  </cols>
  <sheetData>
    <row r="1" ht="28" customHeight="1">
      <c r="A1" s="1" t="inlineStr">
        <is>
          <t>Funding — Deposits into NBG Account</t>
        </is>
      </c>
    </row>
    <row r="2">
      <c r="A2" s="2" t="inlineStr">
        <is>
          <t>Israel → NBG GR18 0110 3180 0000 3180 0400 611. All amounts EUR received. Source: bank transfer confirmations in /Money Transfers.</t>
        </is>
      </c>
    </row>
    <row r="4">
      <c r="A4" s="13" t="inlineStr">
        <is>
          <t>Value date</t>
        </is>
      </c>
      <c r="B4" s="13" t="inlineStr">
        <is>
          <t>Amount (€)</t>
        </is>
      </c>
      <c r="C4" s="13" t="inlineStr">
        <is>
          <t>Bank ref</t>
        </is>
      </c>
      <c r="D4" s="13" t="inlineStr">
        <is>
          <t>Greek-side confirmation</t>
        </is>
      </c>
      <c r="E4" s="13" t="inlineStr">
        <is>
          <t>Counted?</t>
        </is>
      </c>
    </row>
    <row r="5">
      <c r="A5" s="16" t="inlineStr">
        <is>
          <t>2025-09-28</t>
        </is>
      </c>
      <c r="B5" s="24" t="n">
        <v>25000</v>
      </c>
      <c r="C5" s="14" t="inlineStr">
        <is>
          <t>55423</t>
        </is>
      </c>
      <c r="D5" s="14" t="inlineStr">
        <is>
          <t>PDF OtherBankMatachTransfer_25_09 to GR18-0400611</t>
        </is>
      </c>
      <c r="E5" s="17" t="inlineStr">
        <is>
          <t>Yes</t>
        </is>
      </c>
    </row>
    <row r="6">
      <c r="A6" s="16" t="inlineStr">
        <is>
          <t>2025-09-28</t>
        </is>
      </c>
      <c r="B6" s="24" t="n">
        <v>15000</v>
      </c>
      <c r="C6" s="14" t="inlineStr">
        <is>
          <t>55758</t>
        </is>
      </c>
      <c r="D6" s="14" t="inlineStr">
        <is>
          <t>PDF OtherBankMatachTransfer_26_09</t>
        </is>
      </c>
      <c r="E6" s="17" t="inlineStr">
        <is>
          <t>Yes</t>
        </is>
      </c>
    </row>
    <row r="7">
      <c r="A7" s="16" t="inlineStr">
        <is>
          <t>2025-10-12</t>
        </is>
      </c>
      <c r="B7" s="24" t="n">
        <v>130000</v>
      </c>
      <c r="C7" s="14" t="inlineStr">
        <is>
          <t>63360</t>
        </is>
      </c>
      <c r="D7" s="14" t="inlineStr">
        <is>
          <t>PDF OtherBankMatachTransfer_12_10</t>
        </is>
      </c>
      <c r="E7" s="17" t="inlineStr">
        <is>
          <t>Yes</t>
        </is>
      </c>
    </row>
    <row r="8">
      <c r="A8" s="16" t="inlineStr">
        <is>
          <t>2026-01-11</t>
        </is>
      </c>
      <c r="B8" s="24" t="n">
        <v>10000</v>
      </c>
      <c r="C8" s="14" t="inlineStr">
        <is>
          <t>14452</t>
        </is>
      </c>
      <c r="D8" s="14" t="inlineStr">
        <is>
          <t>PDF OtherBankMatachTransfer_10_01</t>
        </is>
      </c>
      <c r="E8" s="17" t="inlineStr">
        <is>
          <t>Yes</t>
        </is>
      </c>
    </row>
    <row r="9">
      <c r="A9" s="16" t="inlineStr">
        <is>
          <t>2026-02-08</t>
        </is>
      </c>
      <c r="B9" s="24" t="n">
        <v>20000</v>
      </c>
      <c r="C9" s="14" t="inlineStr">
        <is>
          <t>30860</t>
        </is>
      </c>
      <c r="D9" s="14" t="inlineStr">
        <is>
          <t>Confirmed - bank statement (ref 30860) + project_data.js</t>
        </is>
      </c>
      <c r="E9" s="17" t="inlineStr">
        <is>
          <t>Yes</t>
        </is>
      </c>
    </row>
    <row r="10">
      <c r="A10" s="16" t="inlineStr">
        <is>
          <t>2026-04-26</t>
        </is>
      </c>
      <c r="B10" s="24" t="n">
        <v>70000</v>
      </c>
      <c r="C10" s="14" t="inlineStr">
        <is>
          <t>70724</t>
        </is>
      </c>
      <c r="D10" s="14" t="inlineStr">
        <is>
          <t>PDF OtherBankMatachTransfer_26_04</t>
        </is>
      </c>
      <c r="E10" s="17" t="inlineStr">
        <is>
          <t>Yes</t>
        </is>
      </c>
    </row>
    <row r="11">
      <c r="A11" s="16" t="inlineStr">
        <is>
          <t>2026-05-31</t>
        </is>
      </c>
      <c r="B11" s="24" t="n">
        <v>2000</v>
      </c>
      <c r="C11" s="14" t="inlineStr">
        <is>
          <t>90833</t>
        </is>
      </c>
      <c r="D11" s="14" t="inlineStr">
        <is>
          <t>Transfer to WISE as backup - not spent; NOT a Greek NBG deposit</t>
        </is>
      </c>
      <c r="E11" s="18" t="inlineStr">
        <is>
          <t>No</t>
        </is>
      </c>
    </row>
    <row r="12">
      <c r="A12" s="16" t="inlineStr">
        <is>
          <t>2026-07-13</t>
        </is>
      </c>
      <c r="B12" s="24" t="n">
        <v>50000</v>
      </c>
      <c r="C12" s="14" t="inlineStr">
        <is>
          <t>wire-Jul13</t>
        </is>
      </c>
      <c r="D12" s="14" t="inlineStr">
        <is>
          <t>Kobi confirmed - Israel to NBG transfer (Mizrahi)</t>
        </is>
      </c>
      <c r="E12" s="17" t="inlineStr">
        <is>
          <t>Yes</t>
        </is>
      </c>
    </row>
    <row r="13">
      <c r="A13" s="25" t="inlineStr">
        <is>
          <t>TOTAL DEPOSITS (counted)</t>
        </is>
      </c>
      <c r="B13" s="26">
        <f>SUMIF(E5:E12,"Yes",B5:B12)</f>
        <v/>
      </c>
    </row>
    <row r="15">
      <c r="A15" s="27" t="inlineStr">
        <is>
          <t>Ground truth: Mizrahi-Tefahot euro account statement (Sikum Haavarot Matach 2.pdf, 01/01/2024-22/06/2026). Rows above are the transfer-to-another-bank lines to the Greek NBG account in the project period. 2024 transfers (EUR 10k, 1.7k) excluded as pre-project.</t>
        </is>
      </c>
    </row>
    <row r="16">
      <c r="A16" s="27" t="inlineStr">
        <is>
          <t>Israeli euro account still held ~EUR 64,786 liquid + EUR 70,000 in a term deposit (23-Apr) as of 10-Jun-2026 - available for future project funding.</t>
        </is>
      </c>
    </row>
  </sheetData>
  <mergeCells count="4">
    <mergeCell ref="A2:E2"/>
    <mergeCell ref="A15:E15"/>
    <mergeCell ref="A1:E1"/>
    <mergeCell ref="A16:E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22" customWidth="1" min="3" max="3"/>
    <col width="13" customWidth="1" min="4" max="4"/>
    <col width="10" customWidth="1" min="5" max="5"/>
    <col width="44" customWidth="1" min="6" max="6"/>
  </cols>
  <sheetData>
    <row r="1" ht="28" customHeight="1">
      <c r="A1" s="1" t="inlineStr">
        <is>
          <t>Property Acquisition (2025)</t>
        </is>
      </c>
    </row>
    <row r="2">
      <c r="A2" s="2" t="inlineStr">
        <is>
          <t>Purchase of two-storey residence + plot, Agios Nikolaos. Contract price €145,000 (objective value €239,793.82). Paid from NBG account.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Payee</t>
        </is>
      </c>
      <c r="D4" s="13" t="inlineStr">
        <is>
          <t>Amount (€)</t>
        </is>
      </c>
      <c r="E4" s="13" t="inlineStr">
        <is>
          <t>From NBG?</t>
        </is>
      </c>
      <c r="F4" s="13" t="inlineStr">
        <is>
          <t>Note</t>
        </is>
      </c>
    </row>
    <row r="5">
      <c r="A5" s="14" t="inlineStr">
        <is>
          <t>2025-09-29</t>
        </is>
      </c>
      <c r="B5" s="14" t="inlineStr">
        <is>
          <t>House payment 1 - pre-agreement advance</t>
        </is>
      </c>
      <c r="C5" s="14" t="inlineStr">
        <is>
          <t>Anagnostou</t>
        </is>
      </c>
      <c r="D5" s="24" t="n">
        <v>18500</v>
      </c>
      <c r="E5" s="17" t="inlineStr">
        <is>
          <t>Yes</t>
        </is>
      </c>
      <c r="F5" s="14" t="inlineStr">
        <is>
          <t>Bank transfer</t>
        </is>
      </c>
    </row>
    <row r="6">
      <c r="A6" s="14" t="inlineStr">
        <is>
          <t>2025-10-22</t>
        </is>
      </c>
      <c r="B6" s="14" t="inlineStr">
        <is>
          <t>House payment 2 - via Zoe (issued check to seller)</t>
        </is>
      </c>
      <c r="C6" s="14" t="inlineStr">
        <is>
          <t>Anagnostou / Zoe</t>
        </is>
      </c>
      <c r="D6" s="24" t="n">
        <v>107000</v>
      </c>
      <c r="E6" s="17" t="inlineStr">
        <is>
          <t>Yes</t>
        </is>
      </c>
      <c r="F6" s="14" t="inlineStr">
        <is>
          <t>Bank transfer to Zoe -&gt; check to Anagnostou</t>
        </is>
      </c>
    </row>
    <row r="7">
      <c r="A7" s="14" t="inlineStr">
        <is>
          <t>2025-10-22</t>
        </is>
      </c>
      <c r="B7" s="14" t="inlineStr">
        <is>
          <t>House payment 2 - balance (direct)</t>
        </is>
      </c>
      <c r="C7" s="14" t="inlineStr">
        <is>
          <t>Anagnostou</t>
        </is>
      </c>
      <c r="D7" s="24" t="n">
        <v>19731</v>
      </c>
      <c r="E7" s="17" t="inlineStr">
        <is>
          <t>Yes</t>
        </is>
      </c>
      <c r="F7" s="14" t="inlineStr">
        <is>
          <t>Direct bank transfer</t>
        </is>
      </c>
    </row>
    <row r="8">
      <c r="A8" s="14" t="inlineStr">
        <is>
          <t>2025-10-17</t>
        </is>
      </c>
      <c r="B8" s="14" t="inlineStr">
        <is>
          <t>Purchase tax (FMA, incl 0.9% joint discount)</t>
        </is>
      </c>
      <c r="C8" s="14" t="inlineStr">
        <is>
          <t>via Zoi Koliou</t>
        </is>
      </c>
      <c r="D8" s="24" t="n">
        <v>7410</v>
      </c>
      <c r="E8" s="17" t="inlineStr">
        <is>
          <t>Yes</t>
        </is>
      </c>
      <c r="F8" s="14" t="inlineStr">
        <is>
          <t>Transfer to Zoe</t>
        </is>
      </c>
    </row>
    <row r="9">
      <c r="A9" s="14" t="inlineStr">
        <is>
          <t>2025-11-05</t>
        </is>
      </c>
      <c r="B9" s="14" t="inlineStr">
        <is>
          <t>Zoe commission</t>
        </is>
      </c>
      <c r="C9" s="14" t="inlineStr">
        <is>
          <t>Zoi Koliou</t>
        </is>
      </c>
      <c r="D9" s="24" t="n">
        <v>4350</v>
      </c>
      <c r="E9" s="17" t="inlineStr">
        <is>
          <t>Yes</t>
        </is>
      </c>
      <c r="F9" s="14" t="inlineStr">
        <is>
          <t>ATM cash via our debit card (800+2000+1000+550)</t>
        </is>
      </c>
    </row>
    <row r="10">
      <c r="A10" s="14" t="inlineStr">
        <is>
          <t>2025-11-05</t>
        </is>
      </c>
      <c r="B10" s="14" t="inlineStr">
        <is>
          <t>Attorney - Vasiliki</t>
        </is>
      </c>
      <c r="C10" s="14" t="inlineStr">
        <is>
          <t>Vasiliki</t>
        </is>
      </c>
      <c r="D10" s="24" t="n">
        <v>2000</v>
      </c>
      <c r="E10" s="17" t="inlineStr">
        <is>
          <t>Yes</t>
        </is>
      </c>
      <c r="F10" s="14" t="inlineStr">
        <is>
          <t>Cash withdrawn by Zoe</t>
        </is>
      </c>
    </row>
    <row r="11">
      <c r="A11" s="14" t="inlineStr">
        <is>
          <t>2025-11-05</t>
        </is>
      </c>
      <c r="B11" s="14" t="inlineStr">
        <is>
          <t>Land registration fee</t>
        </is>
      </c>
      <c r="C11" s="14" t="inlineStr">
        <is>
          <t>Vasiliki</t>
        </is>
      </c>
      <c r="D11" s="24" t="n">
        <v>1328</v>
      </c>
      <c r="E11" s="17" t="inlineStr">
        <is>
          <t>Yes</t>
        </is>
      </c>
      <c r="F11" s="14" t="inlineStr">
        <is>
          <t>Transfer to Vasiliki (pays on our behalf)</t>
        </is>
      </c>
    </row>
    <row r="12">
      <c r="A12" s="14" t="inlineStr">
        <is>
          <t>2025-10-24</t>
        </is>
      </c>
      <c r="B12" s="14" t="inlineStr">
        <is>
          <t>Notary (Vasiliki)</t>
        </is>
      </c>
      <c r="C12" s="14" t="inlineStr">
        <is>
          <t>Mavri / Vasiliki</t>
        </is>
      </c>
      <c r="D12" s="24" t="n">
        <v>2490</v>
      </c>
      <c r="E12" s="17" t="inlineStr">
        <is>
          <t>Yes</t>
        </is>
      </c>
      <c r="F12" s="14" t="inlineStr">
        <is>
          <t>Direct bank transfer</t>
        </is>
      </c>
    </row>
    <row r="13">
      <c r="A13" s="14" t="inlineStr">
        <is>
          <t>2025-09-29</t>
        </is>
      </c>
      <c r="B13" s="14" t="inlineStr">
        <is>
          <t>Legalization (engineer) - transfer 1</t>
        </is>
      </c>
      <c r="C13" s="14" t="inlineStr">
        <is>
          <t>Vicky (Revolut LT)</t>
        </is>
      </c>
      <c r="D13" s="24" t="n">
        <v>800</v>
      </c>
      <c r="E13" s="17" t="inlineStr">
        <is>
          <t>Yes</t>
        </is>
      </c>
      <c r="F13" s="14" t="inlineStr">
        <is>
          <t>Pergola/rooftop/2 warehouses/wells</t>
        </is>
      </c>
    </row>
    <row r="14">
      <c r="A14" s="14" t="inlineStr">
        <is>
          <t>2025-10-01</t>
        </is>
      </c>
      <c r="B14" s="14" t="inlineStr">
        <is>
          <t>Legalization (engineer) - transfer 2</t>
        </is>
      </c>
      <c r="C14" s="14" t="inlineStr">
        <is>
          <t>Vicky (Revolut LT)</t>
        </is>
      </c>
      <c r="D14" s="24" t="n">
        <v>520</v>
      </c>
      <c r="E14" s="17" t="inlineStr">
        <is>
          <t>Yes</t>
        </is>
      </c>
      <c r="F14" s="14" t="inlineStr"/>
    </row>
    <row r="15">
      <c r="A15" s="14" t="inlineStr">
        <is>
          <t>2025-10-01</t>
        </is>
      </c>
      <c r="B15" s="14" t="inlineStr">
        <is>
          <t>Legalization (engineer) - transfer 3</t>
        </is>
      </c>
      <c r="C15" s="14" t="inlineStr">
        <is>
          <t>Antonis</t>
        </is>
      </c>
      <c r="D15" s="24" t="n">
        <v>680</v>
      </c>
      <c r="E15" s="17" t="inlineStr">
        <is>
          <t>Yes</t>
        </is>
      </c>
      <c r="F15" s="14" t="inlineStr"/>
    </row>
    <row r="16">
      <c r="A16" s="14" t="inlineStr">
        <is>
          <t>2025</t>
        </is>
      </c>
      <c r="B16" s="14" t="inlineStr">
        <is>
          <t>Legalization (engineer) - cash balance</t>
        </is>
      </c>
      <c r="C16" s="14" t="inlineStr">
        <is>
          <t>Cash</t>
        </is>
      </c>
      <c r="D16" s="24" t="n">
        <v>3000</v>
      </c>
      <c r="E16" s="17" t="inlineStr">
        <is>
          <t>Yes</t>
        </is>
      </c>
      <c r="F16" s="14" t="inlineStr">
        <is>
          <t>Cash portion (total legalization = EUR 5,000)</t>
        </is>
      </c>
    </row>
    <row r="17">
      <c r="A17" s="14" t="inlineStr">
        <is>
          <t>2025</t>
        </is>
      </c>
      <c r="B17" s="14" t="inlineStr">
        <is>
          <t>Notary &amp; apostille - NBG account setup</t>
        </is>
      </c>
      <c r="C17" s="14" t="inlineStr">
        <is>
          <t>-</t>
        </is>
      </c>
      <c r="D17" s="24" t="n">
        <v>2700</v>
      </c>
      <c r="E17" s="18" t="inlineStr">
        <is>
          <t>No</t>
        </is>
      </c>
      <c r="F17" s="14" t="inlineStr">
        <is>
          <t>Paid from Israel (to open the account)</t>
        </is>
      </c>
    </row>
    <row r="18">
      <c r="A18" s="14" t="inlineStr">
        <is>
          <t>2025</t>
        </is>
      </c>
      <c r="B18" s="14" t="inlineStr">
        <is>
          <t>Flight to Evia - purchase trip</t>
        </is>
      </c>
      <c r="C18" s="14" t="inlineStr">
        <is>
          <t>-</t>
        </is>
      </c>
      <c r="D18" s="24" t="n">
        <v>1200</v>
      </c>
      <c r="E18" s="18" t="inlineStr">
        <is>
          <t>No</t>
        </is>
      </c>
      <c r="F18" s="14" t="inlineStr">
        <is>
          <t>Travel, paid from Israel</t>
        </is>
      </c>
    </row>
    <row r="19">
      <c r="C19" s="25" t="inlineStr">
        <is>
          <t>ACQUISITION TOTAL (all)</t>
        </is>
      </c>
      <c r="D19" s="26">
        <f>SUM(D5:D18)</f>
        <v/>
      </c>
    </row>
    <row r="20">
      <c r="C20" s="19" t="inlineStr">
        <is>
          <t>of which paid from NBG</t>
        </is>
      </c>
      <c r="D20" s="28">
        <f>SUMIF(E5:E18,"Yes",D5:D18)</f>
        <v/>
      </c>
    </row>
    <row r="22">
      <c r="A22" s="27" t="inlineStr">
        <is>
          <t>Source: 'Agio Nikolaos house payments' sheet, 'Actual' table. House price EUR 145,231 (18,500 + 107,000 + 19,731).</t>
        </is>
      </c>
    </row>
  </sheetData>
  <mergeCells count="3">
    <mergeCell ref="A2:E2"/>
    <mergeCell ref="A1:E1"/>
    <mergeCell ref="A22:F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14" customWidth="1" min="4" max="4"/>
    <col width="40" customWidth="1" min="5" max="5"/>
  </cols>
  <sheetData>
    <row r="1" ht="28" customHeight="1">
      <c r="A1" s="1" t="inlineStr">
        <is>
          <t>Payments Outside NBG  +  Vicky Reimbursements</t>
        </is>
      </c>
    </row>
    <row r="2">
      <c r="A2" s="2" t="inlineStr">
        <is>
          <t>Project costs paid via Wise or by card (not from the NBG account), plus reimbursement transfers to Vicky. These expenses are already counted once in the Renovation Ledger.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Method</t>
        </is>
      </c>
      <c r="D4" s="13" t="inlineStr">
        <is>
          <t>Amount (€)</t>
        </is>
      </c>
      <c r="E4" s="13" t="inlineStr">
        <is>
          <t>Note</t>
        </is>
      </c>
    </row>
    <row r="5">
      <c r="A5" s="14" t="inlineStr">
        <is>
          <t>2026-06-06</t>
        </is>
      </c>
      <c r="B5" s="14" t="inlineStr">
        <is>
          <t>Bathroom fixtures (Diamantopoulos)</t>
        </is>
      </c>
      <c r="C5" s="14" t="inlineStr">
        <is>
          <t>Wise</t>
        </is>
      </c>
      <c r="D5" s="15" t="n">
        <v>614</v>
      </c>
      <c r="E5" s="14" t="inlineStr">
        <is>
          <t>In ledger</t>
        </is>
      </c>
    </row>
    <row r="6">
      <c r="A6" s="14" t="inlineStr">
        <is>
          <t>2026-06-18</t>
        </is>
      </c>
      <c r="B6" s="14" t="inlineStr">
        <is>
          <t>Athens shopping - Yael unit fit-out</t>
        </is>
      </c>
      <c r="C6" s="14" t="inlineStr">
        <is>
          <t>card (Vicky)</t>
        </is>
      </c>
      <c r="D6" s="15" t="n">
        <v>972.55</v>
      </c>
      <c r="E6" s="14" t="inlineStr">
        <is>
          <t>In ledger; reimbursed €972.55 below</t>
        </is>
      </c>
    </row>
    <row r="7">
      <c r="A7" s="14" t="inlineStr">
        <is>
          <t>2026-06-19</t>
        </is>
      </c>
      <c r="B7" s="14" t="inlineStr">
        <is>
          <t>Spanish tiles (Tsintonis)</t>
        </is>
      </c>
      <c r="C7" s="14" t="inlineStr">
        <is>
          <t>Wise</t>
        </is>
      </c>
      <c r="D7" s="15" t="n">
        <v>286</v>
      </c>
      <c r="E7" s="14" t="inlineStr">
        <is>
          <t>In ledger; NBG was blocked</t>
        </is>
      </c>
    </row>
    <row r="8">
      <c r="A8" s="14" t="inlineStr">
        <is>
          <t>2026-06-22</t>
        </is>
      </c>
      <c r="B8" s="14" t="inlineStr">
        <is>
          <t>Bedding/pillows/bedspread - Yael</t>
        </is>
      </c>
      <c r="C8" s="14" t="inlineStr">
        <is>
          <t>card (Vicky)</t>
        </is>
      </c>
      <c r="D8" s="15" t="n">
        <v>155</v>
      </c>
      <c r="E8" s="14" t="inlineStr">
        <is>
          <t>In ledger; to net vs window cost</t>
        </is>
      </c>
    </row>
    <row r="9">
      <c r="C9" s="19" t="inlineStr">
        <is>
          <t>Subtotal</t>
        </is>
      </c>
      <c r="D9" s="20">
        <f>SUM(D5:D8)</f>
        <v/>
      </c>
    </row>
    <row r="11">
      <c r="A11" s="12" t="inlineStr">
        <is>
          <t>REIMBURSEMENTS TO VICKY (cash-flow only — not additional project cost)</t>
        </is>
      </c>
    </row>
    <row r="12">
      <c r="A12" s="13" t="inlineStr">
        <is>
          <t>Date</t>
        </is>
      </c>
      <c r="B12" s="13" t="inlineStr">
        <is>
          <t>Item</t>
        </is>
      </c>
      <c r="C12" s="13" t="inlineStr">
        <is>
          <t>Method</t>
        </is>
      </c>
      <c r="D12" s="13" t="inlineStr">
        <is>
          <t>Amount (€)</t>
        </is>
      </c>
      <c r="E12" s="13" t="inlineStr">
        <is>
          <t>Note</t>
        </is>
      </c>
    </row>
    <row r="13">
      <c r="A13" s="14" t="inlineStr">
        <is>
          <t>2026-06-22</t>
        </is>
      </c>
      <c r="B13" s="14" t="inlineStr">
        <is>
          <t>Reimburse Athens/Praktiker card spend</t>
        </is>
      </c>
      <c r="C13" s="14" t="inlineStr">
        <is>
          <t>Wise → Revolut</t>
        </is>
      </c>
      <c r="D13" s="15" t="n">
        <v>972.55</v>
      </c>
      <c r="E13" s="14" t="inlineStr">
        <is>
          <t>Settles only the €972.55 Praktiker spend (not the €380 drill). LT853250002013391261</t>
        </is>
      </c>
    </row>
  </sheetData>
  <mergeCells count="3">
    <mergeCell ref="A2:E2"/>
    <mergeCell ref="A11:E11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46" customWidth="1" min="4" max="4"/>
  </cols>
  <sheetData>
    <row r="1" ht="28" customHeight="1">
      <c r="A1" s="1" t="inlineStr">
        <is>
          <t>Category Rollup — Paid vs Budget</t>
        </is>
      </c>
    </row>
    <row r="2">
      <c r="A2" s="2" t="inlineStr">
        <is>
          <t>Paid = actuals from the Renovation Ledger (SUMIF). Budget = working estimates (Budget Overview / project_data forecast). Remaining is indicative.</t>
        </is>
      </c>
    </row>
    <row r="4">
      <c r="A4" s="13" t="inlineStr">
        <is>
          <t>Category</t>
        </is>
      </c>
      <c r="B4" s="13" t="inlineStr">
        <is>
          <t>Paid to date (€)</t>
        </is>
      </c>
      <c r="C4" s="13" t="inlineStr">
        <is>
          <t>Working budget (€)</t>
        </is>
      </c>
      <c r="D4" s="13" t="inlineStr">
        <is>
          <t>Notes</t>
        </is>
      </c>
    </row>
    <row r="5">
      <c r="A5" s="14" t="inlineStr">
        <is>
          <t>Labour</t>
        </is>
      </c>
      <c r="B5" s="15">
        <f>SUMIFS('Renovation Ledger'!E5:E166,'Renovation Ledger'!B5:B166,A5,'Renovation Ledger'!H5:H166,"Paid")</f>
        <v/>
      </c>
      <c r="C5" s="24" t="n">
        <v>25000</v>
      </c>
      <c r="D5" s="14" t="inlineStr">
        <is>
          <t>Workers, Meli, ESAT, Ilir, contractors</t>
        </is>
      </c>
    </row>
    <row r="6">
      <c r="A6" s="14" t="inlineStr">
        <is>
          <t>Materials</t>
        </is>
      </c>
      <c r="B6" s="15">
        <f>SUMIFS('Renovation Ledger'!E5:E166,'Renovation Ledger'!B5:B166,A6,'Renovation Ledger'!H5:H166,"Paid")</f>
        <v/>
      </c>
      <c r="C6" s="24" t="n">
        <v>25000</v>
      </c>
      <c r="D6" s="14" t="inlineStr">
        <is>
          <t>Kairis main account, Amanatidis, sundries</t>
        </is>
      </c>
    </row>
    <row r="7">
      <c r="A7" s="14" t="inlineStr">
        <is>
          <t>Plumbing</t>
        </is>
      </c>
      <c r="B7" s="15">
        <f>SUMIFS('Renovation Ledger'!E5:E166,'Renovation Ledger'!B5:B166,A7,'Renovation Ledger'!H5:H166,"Paid")</f>
        <v/>
      </c>
      <c r="C7" s="24" t="n">
        <v>9000</v>
      </c>
      <c r="D7" s="14" t="inlineStr">
        <is>
          <t>All floors; ~€7.2k balance after water connection</t>
        </is>
      </c>
    </row>
    <row r="8">
      <c r="A8" s="14" t="inlineStr">
        <is>
          <t>Electrical</t>
        </is>
      </c>
      <c r="B8" s="15">
        <f>SUMIFS('Renovation Ledger'!E5:E166,'Renovation Ledger'!B5:B166,A8,'Renovation Ledger'!H5:H166,"Paid")</f>
        <v/>
      </c>
      <c r="C8" s="24" t="n">
        <v>11250</v>
      </c>
      <c r="D8" s="14" t="inlineStr">
        <is>
          <t>GF+storage approved €11,250; upper floors TBD</t>
        </is>
      </c>
    </row>
    <row r="9">
      <c r="A9" s="14" t="inlineStr">
        <is>
          <t>Site Works</t>
        </is>
      </c>
      <c r="B9" s="15">
        <f>SUMIFS('Renovation Ledger'!E5:E166,'Renovation Ledger'!B5:B166,A9,'Renovation Ledger'!H5:H166,"Paid")</f>
        <v/>
      </c>
      <c r="C9" s="24" t="n">
        <v>6000</v>
      </c>
      <c r="D9" s="14" t="inlineStr">
        <is>
          <t>Excavation, 160m road, compaction</t>
        </is>
      </c>
    </row>
    <row r="10">
      <c r="A10" s="14" t="inlineStr">
        <is>
          <t>Roof</t>
        </is>
      </c>
      <c r="B10" s="15">
        <f>SUMIFS('Renovation Ledger'!E5:E166,'Renovation Ledger'!B5:B166,A10,'Renovation Ledger'!H5:H166,"Paid")</f>
        <v/>
      </c>
      <c r="C10" s="24" t="n">
        <v>4500</v>
      </c>
      <c r="D10" s="14" t="inlineStr">
        <is>
          <t>3F panels, storage roofs</t>
        </is>
      </c>
    </row>
    <row r="11">
      <c r="A11" s="14" t="inlineStr">
        <is>
          <t>Windows/Iron</t>
        </is>
      </c>
      <c r="B11" s="15">
        <f>SUMIFS('Renovation Ledger'!E5:E166,'Renovation Ledger'!B5:B166,A11,'Renovation Ledger'!H5:H166,"Paid")</f>
        <v/>
      </c>
      <c r="C11" s="24" t="n">
        <v>18700</v>
      </c>
      <c r="D11" s="14" t="inlineStr">
        <is>
          <t>Storage done; ~25 house openings upcoming</t>
        </is>
      </c>
    </row>
    <row r="12">
      <c r="A12" s="14" t="inlineStr">
        <is>
          <t>Waste/Bins</t>
        </is>
      </c>
      <c r="B12" s="15">
        <f>SUMIFS('Renovation Ledger'!E5:E166,'Renovation Ledger'!B5:B166,A12,'Renovation Ledger'!H5:H166,"Paid")</f>
        <v/>
      </c>
      <c r="C12" s="24" t="n">
        <v>2000</v>
      </c>
      <c r="D12" s="14" t="inlineStr">
        <is>
          <t>Recycle/waste containers</t>
        </is>
      </c>
    </row>
    <row r="13">
      <c r="A13" s="14" t="inlineStr">
        <is>
          <t>Tiles</t>
        </is>
      </c>
      <c r="B13" s="15">
        <f>SUMIFS('Renovation Ledger'!E5:E166,'Renovation Ledger'!B5:B166,A13,'Renovation Ledger'!H5:H166,"Paid")</f>
        <v/>
      </c>
      <c r="C13" s="24" t="n">
        <v>25500</v>
      </c>
      <c r="D13" s="14" t="inlineStr">
        <is>
          <t>€286 paid; ~€25k order+install upcoming</t>
        </is>
      </c>
    </row>
    <row r="14">
      <c r="A14" s="14" t="inlineStr">
        <is>
          <t>Furniture</t>
        </is>
      </c>
      <c r="B14" s="15">
        <f>SUMIFS('Renovation Ledger'!E5:E166,'Renovation Ledger'!B5:B166,A14,'Renovation Ledger'!H5:H166,"Paid")</f>
        <v/>
      </c>
      <c r="C14" s="24" t="n">
        <v>1000</v>
      </c>
      <c r="D14" s="14" t="inlineStr">
        <is>
          <t>Yael unit bed, mattress, bedding</t>
        </is>
      </c>
    </row>
    <row r="15">
      <c r="A15" s="14" t="inlineStr">
        <is>
          <t>Legal/Admin</t>
        </is>
      </c>
      <c r="B15" s="15">
        <f>SUMIFS('Renovation Ledger'!E5:E166,'Renovation Ledger'!B5:B166,A15,'Renovation Ledger'!H5:H166,"Paid")</f>
        <v/>
      </c>
      <c r="C15" s="24" t="n">
        <v>11350</v>
      </c>
      <c r="D15" s="14" t="inlineStr">
        <is>
          <t>Insurance, certificates, SIM, accountant</t>
        </is>
      </c>
    </row>
    <row r="16">
      <c r="A16" s="14" t="inlineStr">
        <is>
          <t>Landscaping</t>
        </is>
      </c>
      <c r="B16" s="15">
        <f>SUMIFS('Renovation Ledger'!E5:E166,'Renovation Ledger'!B5:B166,A16,'Renovation Ledger'!H5:H166,"Paid")</f>
        <v/>
      </c>
      <c r="C16" s="24" t="n">
        <v>5000</v>
      </c>
      <c r="D16" s="14" t="inlineStr">
        <is>
          <t>Gardener, irrigation</t>
        </is>
      </c>
    </row>
    <row r="17">
      <c r="A17" s="14" t="inlineStr">
        <is>
          <t>Fuel</t>
        </is>
      </c>
      <c r="B17" s="15">
        <f>SUMIFS('Renovation Ledger'!E5:E166,'Renovation Ledger'!B5:B166,A17,'Renovation Ledger'!H5:H166,"Paid")</f>
        <v/>
      </c>
      <c r="C17" s="24" t="n">
        <v>500</v>
      </c>
      <c r="D17" s="14" t="inlineStr">
        <is>
          <t>Site fuel</t>
        </is>
      </c>
    </row>
    <row r="18">
      <c r="A18" s="14" t="inlineStr">
        <is>
          <t>Equipment</t>
        </is>
      </c>
      <c r="B18" s="15">
        <f>SUMIFS('Renovation Ledger'!E5:E166,'Renovation Ledger'!B5:B166,A18,'Renovation Ledger'!H5:H166,"Paid")</f>
        <v/>
      </c>
      <c r="C18" s="24" t="n">
        <v>500</v>
      </c>
      <c r="D18" s="14" t="inlineStr">
        <is>
          <t>Tools</t>
        </is>
      </c>
    </row>
    <row r="19">
      <c r="A19" s="14" t="inlineStr">
        <is>
          <t>Other</t>
        </is>
      </c>
      <c r="B19" s="15">
        <f>SUMIFS('Renovation Ledger'!E5:E166,'Renovation Ledger'!B5:B166,A19,'Renovation Ledger'!H5:H166,"Paid")</f>
        <v/>
      </c>
      <c r="C19" s="24" t="n">
        <v>300</v>
      </c>
      <c r="D19" s="14" t="inlineStr">
        <is>
          <t>Misc</t>
        </is>
      </c>
    </row>
    <row r="20">
      <c r="A20" s="29" t="inlineStr">
        <is>
          <t>TOTAL</t>
        </is>
      </c>
      <c r="B20" s="20">
        <f>SUM(B5:B19)</f>
        <v/>
      </c>
      <c r="C20" s="28">
        <f>SUM(C5:C19)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54" customWidth="1" min="4" max="4"/>
  </cols>
  <sheetData>
    <row r="1" ht="28" customHeight="1">
      <c r="A1" s="1" t="inlineStr">
        <is>
          <t>NBG Account Reconciliation (official statement)</t>
        </is>
      </c>
    </row>
    <row r="2">
      <c r="A2" s="2" t="inlineStr">
        <is>
          <t>Account 31800400611, period 01/10/2025-25/06/2026. Ties to the cent. Source: NBG statement export25-06-2026.xlsx.</t>
        </is>
      </c>
    </row>
    <row r="5">
      <c r="B5" s="30" t="inlineStr">
        <is>
          <t>Opening balance 01/10/2025</t>
        </is>
      </c>
      <c r="C5" s="31" t="n">
        <v>21066.81</v>
      </c>
      <c r="D5" s="27" t="inlineStr">
        <is>
          <t>Embeds Sep-2025: +EUR25k +EUR15k transfers, -EUR18,500 down-payment, -fees</t>
        </is>
      </c>
    </row>
    <row r="6">
      <c r="B6" s="32" t="inlineStr">
        <is>
          <t>+ Deposits received (in period)</t>
        </is>
      </c>
      <c r="C6" s="33" t="n">
        <v>230000</v>
      </c>
      <c r="D6" s="27" t="inlineStr">
        <is>
          <t>EUR130k (13-Oct) + EUR10k (12-Jan) + EUR20k (09-Feb) + EUR70k (27-Apr)</t>
        </is>
      </c>
    </row>
    <row r="7">
      <c r="B7" s="34" t="inlineStr">
        <is>
          <t>- Property acquisition &amp; legal (transfers)</t>
        </is>
      </c>
      <c r="C7" s="35" t="n">
        <v>-139459.28</v>
      </c>
      <c r="D7" s="27" t="inlineStr">
        <is>
          <t>House 126,730.81 + tax 7,410 + notary 2,490 + land reg 1,328.47 + owner cert 200 + land-reg temp 100 + legalization 620 + 580</t>
        </is>
      </c>
    </row>
    <row r="8">
      <c r="B8" s="34" t="inlineStr">
        <is>
          <t>- Acquisition paid in cash (Nov-2025)</t>
        </is>
      </c>
      <c r="C8" s="35" t="n">
        <v>-6350</v>
      </c>
      <c r="D8" s="27" t="inlineStr">
        <is>
          <t>Zoe commission 4,350 + Vasiliki 2,000</t>
        </is>
      </c>
    </row>
    <row r="9">
      <c r="B9" s="34" t="inlineStr">
        <is>
          <t>- Renovation/project cash withdrawals (ATM)</t>
        </is>
      </c>
      <c r="C9" s="35" t="n">
        <v>-64730</v>
      </c>
      <c r="D9" s="27" t="inlineStr">
        <is>
          <t>Cash for workers, Kairis, materials, etc.</t>
        </is>
      </c>
    </row>
    <row r="10">
      <c r="B10" s="34" t="inlineStr">
        <is>
          <t>- Renovation card payments (POS)</t>
        </is>
      </c>
      <c r="C10" s="35" t="n">
        <v>-4494.92</v>
      </c>
      <c r="D10" s="27" t="inlineStr">
        <is>
          <t>Amanatidis 1,524.32 + GKIZA 1,440 + aluminium 1,150 + drill 380.60</t>
        </is>
      </c>
    </row>
    <row r="11">
      <c r="B11" s="34" t="inlineStr">
        <is>
          <t>- Accountant - tax registration</t>
        </is>
      </c>
      <c r="C11" s="35" t="n">
        <v>-711</v>
      </c>
      <c r="D11" s="27" t="inlineStr">
        <is>
          <t>SIANOS PANTAZIS, 18-May</t>
        </is>
      </c>
    </row>
    <row r="12">
      <c r="B12" s="34" t="inlineStr">
        <is>
          <t>- Personal card spend</t>
        </is>
      </c>
      <c r="C12" s="35" t="n">
        <v>-104.17</v>
      </c>
      <c r="D12" s="27" t="inlineStr">
        <is>
          <t>Jan groceries/cafe (LIDL etc.)</t>
        </is>
      </c>
    </row>
    <row r="13">
      <c r="B13" s="34" t="inlineStr">
        <is>
          <t>- Bank fees &amp; charges</t>
        </is>
      </c>
      <c r="C13" s="35" t="n">
        <v>-14.5</v>
      </c>
      <c r="D13" s="27" t="inlineStr">
        <is>
          <t>In-period commissions</t>
        </is>
      </c>
    </row>
    <row r="14">
      <c r="B14" s="29" t="inlineStr">
        <is>
          <t>Computed closing balance</t>
        </is>
      </c>
      <c r="C14" s="36">
        <f>SUM(C5:C13)</f>
        <v/>
      </c>
    </row>
    <row r="15">
      <c r="B15" s="29" t="inlineStr">
        <is>
          <t>Statement closing balance 25/06/2026</t>
        </is>
      </c>
      <c r="C15" s="37" t="n">
        <v>35202.94</v>
      </c>
    </row>
    <row r="16">
      <c r="B16" s="38" t="inlineStr">
        <is>
          <t>Difference (ties to zero)</t>
        </is>
      </c>
      <c r="C16" s="39">
        <f>C14-C15</f>
        <v/>
      </c>
    </row>
    <row r="18">
      <c r="B18" s="29" t="inlineStr">
        <is>
          <t>Cross-check - renovation funded from NBG</t>
        </is>
      </c>
    </row>
    <row r="19">
      <c r="B19" s="40" t="inlineStr">
        <is>
          <t>Renovation from NBG per ledger</t>
        </is>
      </c>
      <c r="C19" s="41">
        <f>'Renovation Ledger'!E169</f>
        <v/>
      </c>
    </row>
    <row r="20">
      <c r="B20" s="40" t="inlineStr">
        <is>
          <t>Statement NBG renovation outflow (cash 64,730 + POS 4,494.92 + accountant 711)</t>
        </is>
      </c>
      <c r="C20" s="41" t="n">
        <v>69935.92</v>
      </c>
    </row>
    <row r="21">
      <c r="B21" s="42" t="inlineStr">
        <is>
          <t>Difference = cash float / timing (+ ~300 legal items the statement groups under acquisition)</t>
        </is>
      </c>
      <c r="C21" s="43">
        <f>'Renovation Ledger'!E169-69935.92</f>
        <v/>
      </c>
    </row>
    <row r="23">
      <c r="B23" s="44" t="inlineStr">
        <is>
          <t>The NBG account is fully reconciled to the official statement - there is NO unexplained money.</t>
        </is>
      </c>
    </row>
    <row r="24">
      <c r="B24" s="44" t="inlineStr">
        <is>
          <t>The small ledger-vs-statement difference is cash float (cash withdrawn vs spent timing). ATM withdrawals are exact; renovation cash expenses are reconstructed weekly estimates.</t>
        </is>
      </c>
    </row>
    <row r="26">
      <c r="B26" s="45" t="inlineStr">
        <is>
          <t>ROLLING BRIDGE — since last full statement (2026-06-25)</t>
        </is>
      </c>
    </row>
    <row r="27">
      <c r="B27" s="40" t="inlineStr">
        <is>
          <t>Opening — statement closing balance (2026-06-25)</t>
        </is>
      </c>
      <c r="C27" s="41" t="n">
        <v>35202.94</v>
      </c>
    </row>
    <row r="28">
      <c r="B28" s="40" t="inlineStr">
        <is>
          <t>+ Deposits since (dynamic — recalculates as new transfers are added)</t>
        </is>
      </c>
      <c r="C28" s="41">
        <f>SUMPRODUCT(('Funding (NBG Deposits)'!A5:A12&gt;"2026-06-25")*('Funding (NBG Deposits)'!E5:E12="Yes")*'Funding (NBG Deposits)'!B5:B12)</f>
        <v/>
      </c>
    </row>
    <row r="29">
      <c r="B29" s="40" t="inlineStr">
        <is>
          <t>- Renovation paid from NBG since (dynamic — recalculates as new expenses are added)</t>
        </is>
      </c>
      <c r="C29" s="41">
        <f>SUMPRODUCT(('Renovation Ledger'!I5:I166&gt;"2026-06-25")*('Renovation Ledger'!H5:H166="Paid")*('Renovation Ledger'!G5:G166="Yes")*'Renovation Ledger'!E5:E166)</f>
        <v/>
      </c>
    </row>
    <row r="30">
      <c r="B30" s="29" t="inlineStr">
        <is>
          <t>Computed balance (bridge)</t>
        </is>
      </c>
      <c r="C30" s="46">
        <f>C27+C28-C29</f>
        <v/>
      </c>
    </row>
    <row r="31">
      <c r="B31" s="29" t="inlineStr">
        <is>
          <t>Reported balance (2026-10-05)</t>
        </is>
      </c>
      <c r="C31" s="47" t="n">
        <v>49805</v>
      </c>
    </row>
    <row r="32">
      <c r="B32" s="38" t="inlineStr">
        <is>
          <t>Residual (bridge − reported)</t>
        </is>
      </c>
      <c r="C32" s="48">
        <f>C30-C31</f>
        <v/>
      </c>
    </row>
    <row r="33">
      <c r="B33" s="27" t="inlineStr">
        <is>
          <t>A residual here is expected cash-float/timing (ATM withdrawals vs itemized weekly reconstructions), or spending not yet reported to Kobi -- see Flags &amp; Dedup. It is NOT unexplained/missing money unless it grows unexpectedly large or keeps widening.</t>
        </is>
      </c>
    </row>
  </sheetData>
  <mergeCells count="6">
    <mergeCell ref="B33:D33"/>
    <mergeCell ref="A1:D1"/>
    <mergeCell ref="B23:D23"/>
    <mergeCell ref="B26:D26"/>
    <mergeCell ref="A2:D2"/>
    <mergeCell ref="B24:D2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10" customWidth="1" min="4" max="4"/>
    <col width="40" customWidth="1" min="5" max="5"/>
  </cols>
  <sheetData>
    <row r="1" ht="28" customHeight="1">
      <c r="A1" s="1" t="inlineStr">
        <is>
          <t>Flags &amp; De-duplication Log</t>
        </is>
      </c>
    </row>
    <row r="2">
      <c r="A2" s="2" t="inlineStr">
        <is>
          <t>Resolved items (green) and open questions (yellow). Nothing here is double-counted in the totals.</t>
        </is>
      </c>
    </row>
    <row r="4">
      <c r="A4" s="13" t="inlineStr">
        <is>
          <t>#</t>
        </is>
      </c>
      <c r="B4" s="13" t="inlineStr">
        <is>
          <t>Issue</t>
        </is>
      </c>
      <c r="C4" s="13" t="inlineStr">
        <is>
          <t>How handled</t>
        </is>
      </c>
      <c r="D4" s="13" t="inlineStr">
        <is>
          <t>Status</t>
        </is>
      </c>
      <c r="E4" s="13" t="inlineStr">
        <is>
          <t>Action needed</t>
        </is>
      </c>
    </row>
    <row r="5">
      <c r="A5" s="16" t="inlineStr">
        <is>
          <t>1</t>
        </is>
      </c>
      <c r="B5" s="14" t="inlineStr">
        <is>
          <t>Feb-8-2026 €20,000 transfer</t>
        </is>
      </c>
      <c r="C5" s="14" t="inlineStr">
        <is>
          <t>Confirmed in the Mizrahi euro-account statement (ref 30860) and project_data.js. Counted in deposits.</t>
        </is>
      </c>
      <c r="D5" s="17" t="inlineStr">
        <is>
          <t>Resolved</t>
        </is>
      </c>
      <c r="E5" s="14" t="inlineStr">
        <is>
          <t>None.</t>
        </is>
      </c>
    </row>
    <row r="6">
      <c r="A6" s="16" t="inlineStr">
        <is>
          <t>2</t>
        </is>
      </c>
      <c r="B6" s="14" t="inlineStr">
        <is>
          <t>Hammer drill €380 (18-Jun)</t>
        </is>
      </c>
      <c r="C6" s="14" t="inlineStr">
        <is>
          <t>Confirmed SEPARATE from the €972.55 Athens shopping; added as its own line, charged to the Antonis contract.</t>
        </is>
      </c>
      <c r="D6" s="17" t="inlineStr">
        <is>
          <t>Resolved</t>
        </is>
      </c>
      <c r="E6" s="14" t="inlineStr">
        <is>
          <t>Recover the €380 by deducting it from the Antonis contract balance.</t>
        </is>
      </c>
    </row>
    <row r="7">
      <c r="A7" s="16" t="inlineStr">
        <is>
          <t>3</t>
        </is>
      </c>
      <c r="B7" s="14" t="inlineStr">
        <is>
          <t>Vicky reimbursement €972.55 (Wise)</t>
        </is>
      </c>
      <c r="C7" s="14" t="inlineStr">
        <is>
          <t>A settlement of the €972.55 Athens expense; shown only on the Out-of-NBG tab, never double-counted.</t>
        </is>
      </c>
      <c r="D7" s="17" t="inlineStr">
        <is>
          <t>Resolved</t>
        </is>
      </c>
      <c r="E7" s="14" t="inlineStr">
        <is>
          <t>None - you confirmed it was sent.</t>
        </is>
      </c>
    </row>
    <row r="8">
      <c r="A8" s="16" t="inlineStr">
        <is>
          <t>4</t>
        </is>
      </c>
      <c r="B8" s="14" t="inlineStr">
        <is>
          <t>May-28 cluster: excavator €600, plumber €1,000, electrician €1,000, plumber materials €300</t>
        </is>
      </c>
      <c r="C8" s="14" t="inlineStr">
        <is>
          <t>All FOUR confirmed real (WhatsApp 28-May + dashboard) and added to the ledger.</t>
        </is>
      </c>
      <c r="D8" s="17" t="inlineStr">
        <is>
          <t>Resolved</t>
        </is>
      </c>
      <c r="E8" s="14" t="inlineStr">
        <is>
          <t>None.</t>
        </is>
      </c>
    </row>
    <row r="9">
      <c r="A9" s="16" t="inlineStr">
        <is>
          <t>5</t>
        </is>
      </c>
      <c r="B9" s="14" t="inlineStr">
        <is>
          <t>Early items missing from Drive sheet: aluminium €1,150, plumber adv#1 €1,000, gate €50</t>
        </is>
      </c>
      <c r="C9" s="14" t="inlineStr">
        <is>
          <t>Confirmed they belong; added to the ledger.</t>
        </is>
      </c>
      <c r="D9" s="17" t="inlineStr">
        <is>
          <t>Resolved</t>
        </is>
      </c>
      <c r="E9" s="14" t="inlineStr">
        <is>
          <t>None.</t>
        </is>
      </c>
    </row>
    <row r="10">
      <c r="A10" s="16" t="inlineStr">
        <is>
          <t>6</t>
        </is>
      </c>
      <c r="B10" s="14" t="inlineStr">
        <is>
          <t>Acquisition detail and the €7,410 to Zoi</t>
        </is>
      </c>
      <c r="C10" s="14" t="inlineStr">
        <is>
          <t>Itemised from the Actual table: €7,410 is the property purchase TAX (FMA); balance split €107,000 (Zoe check) + €19,731 direct.</t>
        </is>
      </c>
      <c r="D10" s="17" t="inlineStr">
        <is>
          <t>Resolved</t>
        </is>
      </c>
      <c r="E10" s="14" t="inlineStr">
        <is>
          <t>None.</t>
        </is>
      </c>
    </row>
    <row r="11">
      <c r="A11" s="16" t="inlineStr">
        <is>
          <t>10</t>
        </is>
      </c>
      <c r="B11" s="14" t="inlineStr">
        <is>
          <t>€2,000 transfer 31-May (ref 90833)</t>
        </is>
      </c>
      <c r="C11" s="14" t="inlineStr">
        <is>
          <t>Went to Wise as an unspent backup buffer; excluded from NBG deposits.</t>
        </is>
      </c>
      <c r="D11" s="17" t="inlineStr">
        <is>
          <t>Resolved</t>
        </is>
      </c>
      <c r="E11" s="14" t="inlineStr">
        <is>
          <t>None.</t>
        </is>
      </c>
    </row>
    <row r="12">
      <c r="A12" s="16" t="inlineStr">
        <is>
          <t>7</t>
        </is>
      </c>
      <c r="B12" s="14" t="inlineStr">
        <is>
          <t>Reconciliation residual</t>
        </is>
      </c>
      <c r="C12" s="14" t="inlineStr">
        <is>
          <t>RESOLVED with the official NBG statement: the account reconciles to the cent (€35,202.94). The earlier residual was an expenses-vs-deposits artifact, not missing money.</t>
        </is>
      </c>
      <c r="D12" s="17" t="inlineStr">
        <is>
          <t>Resolved</t>
        </is>
      </c>
      <c r="E12" s="14" t="inlineStr">
        <is>
          <t>None.</t>
        </is>
      </c>
    </row>
    <row r="13">
      <c r="A13" s="16" t="inlineStr">
        <is>
          <t>8</t>
        </is>
      </c>
      <c r="B13" s="14" t="inlineStr">
        <is>
          <t>Amanatidis + plumbing card payments (€2,140)</t>
        </is>
      </c>
      <c r="C13" s="14" t="inlineStr">
        <is>
          <t>RESOLVED per Kobi: paid with the NBG debit card; reclassified as From NBG = Yes.</t>
        </is>
      </c>
      <c r="D13" s="17" t="inlineStr">
        <is>
          <t>Resolved</t>
        </is>
      </c>
      <c r="E13" s="14" t="inlineStr">
        <is>
          <t>None.</t>
        </is>
      </c>
    </row>
    <row r="14">
      <c r="A14" s="16" t="inlineStr">
        <is>
          <t>9</t>
        </is>
      </c>
      <c r="B14" s="14" t="inlineStr">
        <is>
          <t>Worker insurance Apr-Jun €3,858</t>
        </is>
      </c>
      <c r="C14" s="14" t="inlineStr">
        <is>
          <t>Not present in the NBG statement -&gt; confirms still UNPAID. Listed as Committed.</t>
        </is>
      </c>
      <c r="D14" s="18" t="inlineStr">
        <is>
          <t>OPEN</t>
        </is>
      </c>
      <c r="E14" s="14" t="inlineStr">
        <is>
          <t>Pay/confirm; then it moves to Paid.</t>
        </is>
      </c>
    </row>
    <row r="15">
      <c r="A15" s="16" t="inlineStr">
        <is>
          <t>11</t>
        </is>
      </c>
      <c r="B15" s="14" t="inlineStr">
        <is>
          <t>EUR907.92 residual — rolling bridge (25-Jun to 11-Jul)</t>
        </is>
      </c>
      <c r="C15" s="14" t="inlineStr">
        <is>
          <t>Kobi reported the current NBG balance as EUR23,505.02 on 11-Jul-2026. The ledger only accounts for EUR10,790 in NBG-paid cash-out since the 25-Jun statement (EUR35,202.94), projecting EUR24,412.94 -- EUR907.92 more than reported. Consistent with the known cash-float pattern (round ATM withdrawals vs itemized weekly reconstructions) but could also be spending Vicky hasn't reported yet.</t>
        </is>
      </c>
      <c r="D15" s="18" t="inlineStr">
        <is>
          <t>OPEN</t>
        </is>
      </c>
      <c r="E15" s="14" t="inlineStr">
        <is>
          <t>Ask Vicky to confirm — either an ATM withdrawal that ran ahead of itemized expenses, or a payment not yet reported in the WhatsApp group.</t>
        </is>
      </c>
    </row>
    <row r="16">
      <c r="A16" s="16" t="inlineStr">
        <is>
          <t>12</t>
        </is>
      </c>
      <c r="B16" s="14" t="inlineStr">
        <is>
          <t>Rolling bridge residual -EUR2,212.06 (Oct 2)</t>
        </is>
      </c>
      <c r="C16" s="14" t="inlineStr">
        <is>
          <t>Anchor balance (EUR58,805) is from 29-Jul and predates the 25-Sep EUR3,000 withdrawal now logged as Paid (EUR2,350 Kairis + EUR650 unallocated float). Kobi said ~EUR58K on 24-Sep (approx, not used as anchor). Residual moved by exactly the EUR3,000 -- anchor staleness, not missing money.</t>
        </is>
      </c>
      <c r="D16" s="17" t="inlineStr">
        <is>
          <t>Resolved</t>
        </is>
      </c>
      <c r="E16" s="14" t="inlineStr">
        <is>
          <t>Superseded by flag 13 (fresh NBG balance EUR49,805 on Oct 5).</t>
        </is>
      </c>
    </row>
    <row r="17">
      <c r="A17" s="16" t="inlineStr">
        <is>
          <t>13</t>
        </is>
      </c>
      <c r="B17" s="14" t="inlineStr">
        <is>
          <t>NBG balance EUR49,805 (Oct 5) + Kairis EUR400 gap</t>
        </is>
      </c>
      <c r="C17" s="14" t="inlineStr">
        <is>
          <t>Kobi reported EUR49,805 on 5-Oct = EUR58,805 (29-Jul) minus exactly three EUR3,000 ATM withdrawals (Sep 25, Sep 29, Oct 3). Sep 29 committed items (wages 950, steel 750, petrol 40, ELEC advance 250) + inferred Kairis 1,000 moved to Paid; Oct 3 report logged (wages 1,510, fuel 50, materials 150, ELEC 250, Kairis 1,050 = EUR3,010). Kairis: Sep 29 balance EUR4,400 minus logged EUR1,000 = EUR3,400, but Vicky Oct 3 says EUR3,000 -&gt; EUR400 paid from somewhere unlogged (likely the Sep 25 EUR650 float).</t>
        </is>
      </c>
      <c r="D17" s="18" t="inlineStr">
        <is>
          <t>OPEN</t>
        </is>
      </c>
      <c r="E17" s="14" t="inlineStr">
        <is>
          <t>Ask Vicky: did EUR400 of the Sep 25 float go to Kairis? Confirm how the rest of the EUR650 float was spent. Rolling-bridge residual is the remaining cash-float timing gap.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2026-10-05T17:39:53Z</dcterms:created>
  <dcterms:modified xmlns:dcterms="http://purl.org/dc/terms/" xmlns:xsi="http://www.w3.org/2001/XMLSchema-instance" xsi:type="dcterms:W3CDTF">2026-10-05T17:39:53Z</dcterms:modified>
</cp:coreProperties>
</file>