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novation Ledger" sheetId="2" state="visible" r:id="rId4"/>
    <sheet name="Funding (NBG Deposits)" sheetId="3" state="visible" r:id="rId5"/>
    <sheet name="Property Acquisition 2025" sheetId="4" state="visible" r:id="rId6"/>
    <sheet name="Out-of-NBG &amp; Reimburse" sheetId="5" state="visible" r:id="rId7"/>
    <sheet name="Category Rollup" sheetId="6" state="visible" r:id="rId8"/>
    <sheet name="Reconciliation" sheetId="7" state="visible" r:id="rId9"/>
    <sheet name="Flags &amp; Dedu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<sst xmlns="http://schemas.openxmlformats.org/spreadsheetml/2006/main" count="1621" uniqueCount="517">
  <si>
    <t xml:space="preserve">Ag. Nikolaos Home — Project Balance Sheet</t>
  </si>
  <si>
    <t xml:space="preserve">Financial ground truth. Currency: EUR. Last updated 2026-10-05. Sources: project folder, Drive payments sheet, WhatsApp 'Evia HOME', Gmail, bank confirmations.</t>
  </si>
  <si>
    <t xml:space="preserve">FUNDING &amp; POSITION</t>
  </si>
  <si>
    <t xml:space="preserve">Total deposited into NBG</t>
  </si>
  <si>
    <t xml:space="preserve">6 transfers Sep-2025 to May-2026 (bank statement)</t>
  </si>
  <si>
    <t xml:space="preserve">Property acquisition (2025)</t>
  </si>
  <si>
    <t xml:space="preserve">Contract price €145,000 + legal/notary/tax</t>
  </si>
  <si>
    <t xml:space="preserve">Current NBG balance</t>
  </si>
  <si>
    <t xml:space="preserve">Reported 2026-10-05 (see Reconciliation &gt; Rolling Bridge for the residual check)</t>
  </si>
  <si>
    <t xml:space="preserve">RENOVATION</t>
  </si>
  <si>
    <t xml:space="preserve">Renovation paid to date</t>
  </si>
  <si>
    <t xml:space="preserve">All methods, de-duplicated</t>
  </si>
  <si>
    <t xml:space="preserve">Committed (approved, unpaid)</t>
  </si>
  <si>
    <t xml:space="preserve">Electrician, metalworker, insurance, etc.</t>
  </si>
  <si>
    <t xml:space="preserve">Acquisition + Renovation paid</t>
  </si>
  <si>
    <t xml:space="preserve">Total cash deployed into the project to date</t>
  </si>
  <si>
    <t xml:space="preserve">RECONCILIATION CHECK</t>
  </si>
  <si>
    <t xml:space="preserve">NBG reconciliation difference</t>
  </si>
  <si>
    <t xml:space="preserve">Account ties to the official statement (zero)</t>
  </si>
  <si>
    <t xml:space="preserve">⚑ Open items needing your confirmation are on the 'Flags &amp; Dedup' tab.</t>
  </si>
  <si>
    <t xml:space="preserve">Renovation Ledger — Ag. Nikolaos Home</t>
  </si>
  <si>
    <t xml:space="preserve">Every renovation expense (Jan–Jun 2026), de-duplicated. The €380 demolition hammer drill (18-Jun) is a SEPARATE payment, paid by Vicky's card, to be deducted from the Antonis contract.</t>
  </si>
  <si>
    <t xml:space="preserve">Report Date</t>
  </si>
  <si>
    <t xml:space="preserve">Category</t>
  </si>
  <si>
    <t xml:space="preserve">Description</t>
  </si>
  <si>
    <t xml:space="preserve">Vendor / Payee</t>
  </si>
  <si>
    <t xml:space="preserve">Amount (€)</t>
  </si>
  <si>
    <t xml:space="preserve">Method</t>
  </si>
  <si>
    <t xml:space="preserve">From NBG?</t>
  </si>
  <si>
    <t xml:space="preserve">Status</t>
  </si>
  <si>
    <t xml:space="preserve">Payment Date</t>
  </si>
  <si>
    <t xml:space="preserve">2026-01-17</t>
  </si>
  <si>
    <t xml:space="preserve">Waste/Bins</t>
  </si>
  <si>
    <t xml:space="preserve">Recycle/waste bins (8)</t>
  </si>
  <si>
    <t xml:space="preserve">Kairis</t>
  </si>
  <si>
    <t xml:space="preserve">cash</t>
  </si>
  <si>
    <t xml:space="preserve">Yes</t>
  </si>
  <si>
    <t xml:space="preserve">Paid</t>
  </si>
  <si>
    <t xml:space="preserve">Labour</t>
  </si>
  <si>
    <t xml:space="preserve">Team leader/manager (11 days)</t>
  </si>
  <si>
    <t xml:space="preserve">Meli</t>
  </si>
  <si>
    <t xml:space="preserve">Workers (18 worker-days)</t>
  </si>
  <si>
    <t xml:space="preserve">Workers</t>
  </si>
  <si>
    <t xml:space="preserve">Electrical</t>
  </si>
  <si>
    <t xml:space="preserve">Electricity materials</t>
  </si>
  <si>
    <t xml:space="preserve">Supplier</t>
  </si>
  <si>
    <t xml:space="preserve">Equipment</t>
  </si>
  <si>
    <t xml:space="preserve">Tool damage replacement</t>
  </si>
  <si>
    <t xml:space="preserve">-</t>
  </si>
  <si>
    <t xml:space="preserve">2026-01-24</t>
  </si>
  <si>
    <t xml:space="preserve">Recycle/waste bins (2)</t>
  </si>
  <si>
    <t xml:space="preserve">Materials</t>
  </si>
  <si>
    <t xml:space="preserve">Cement - large storage base</t>
  </si>
  <si>
    <t xml:space="preserve">Amanatidis</t>
  </si>
  <si>
    <t xml:space="preserve">NBG card</t>
  </si>
  <si>
    <t xml:space="preserve">Workers (16 worker-days)</t>
  </si>
  <si>
    <t xml:space="preserve">Team leader (7 days)</t>
  </si>
  <si>
    <t xml:space="preserve">Tool spare parts/materials</t>
  </si>
  <si>
    <t xml:space="preserve">Poutichidis</t>
  </si>
  <si>
    <t xml:space="preserve">Steel - large storage base</t>
  </si>
  <si>
    <t xml:space="preserve">2026-02-02</t>
  </si>
  <si>
    <t xml:space="preserve">Steel reinforcements</t>
  </si>
  <si>
    <t xml:space="preserve">Cement - large storage slab</t>
  </si>
  <si>
    <t xml:space="preserve">Team leader (5 days)</t>
  </si>
  <si>
    <t xml:space="preserve">Workers (7 worker-days)</t>
  </si>
  <si>
    <t xml:space="preserve">2026-02-07</t>
  </si>
  <si>
    <t xml:space="preserve">Other</t>
  </si>
  <si>
    <t xml:space="preserve">Soula - inconvenience &amp; water</t>
  </si>
  <si>
    <t xml:space="preserve">Soula</t>
  </si>
  <si>
    <t xml:space="preserve">Workers (9 worker-days)</t>
  </si>
  <si>
    <t xml:space="preserve">Recycle/waste bins (1)</t>
  </si>
  <si>
    <t xml:space="preserve">Fuel</t>
  </si>
  <si>
    <t xml:space="preserve">Fuel - concrete mixer (storage slab)</t>
  </si>
  <si>
    <t xml:space="preserve">Gas station</t>
  </si>
  <si>
    <t xml:space="preserve">2026-03-16</t>
  </si>
  <si>
    <t xml:space="preserve">Workers (12 wd) - storage/road/trees/elec</t>
  </si>
  <si>
    <t xml:space="preserve">Team leader (3 days)</t>
  </si>
  <si>
    <t xml:space="preserve">Legal/Admin</t>
  </si>
  <si>
    <t xml:space="preserve">Municipality road-barrier removal</t>
  </si>
  <si>
    <t xml:space="preserve">Municipality</t>
  </si>
  <si>
    <t xml:space="preserve">Electrician - bury backyard line + materials</t>
  </si>
  <si>
    <t xml:space="preserve">Electrician</t>
  </si>
  <si>
    <t xml:space="preserve">Site Works</t>
  </si>
  <si>
    <t xml:space="preserve">Excavator + 8 gravel trucks (160m road)</t>
  </si>
  <si>
    <t xml:space="preserve">Alexiou</t>
  </si>
  <si>
    <t xml:space="preserve">Kairis - Ytong + glue (storage walls)</t>
  </si>
  <si>
    <t xml:space="preserve">2026-05-07</t>
  </si>
  <si>
    <t xml:space="preserve">Workers insurance Jan-Feb (60 work-days)</t>
  </si>
  <si>
    <t xml:space="preserve">EFKA</t>
  </si>
  <si>
    <t xml:space="preserve">2026-03-21</t>
  </si>
  <si>
    <t xml:space="preserve">Kairis - roof insul/steel/fiberboard (adv.)</t>
  </si>
  <si>
    <t xml:space="preserve">Workers (6 worker-days)</t>
  </si>
  <si>
    <t xml:space="preserve">Greek SIM (Kobi)</t>
  </si>
  <si>
    <t xml:space="preserve">Zoe</t>
  </si>
  <si>
    <t xml:space="preserve">Glass bricks - storage</t>
  </si>
  <si>
    <t xml:space="preserve">Landscaping</t>
  </si>
  <si>
    <t xml:space="preserve">Gardener (Mar-Apr)</t>
  </si>
  <si>
    <t xml:space="preserve">Gardener</t>
  </si>
  <si>
    <t xml:space="preserve">2026-03-28</t>
  </si>
  <si>
    <t xml:space="preserve">Kairis - internal walls 1F (bricks/steel/sand)</t>
  </si>
  <si>
    <t xml:space="preserve">2026-04-04</t>
  </si>
  <si>
    <t xml:space="preserve">Brick workers - first floor</t>
  </si>
  <si>
    <t xml:space="preserve">2026-04-07</t>
  </si>
  <si>
    <t xml:space="preserve">Gardener pipes/hoses</t>
  </si>
  <si>
    <t xml:space="preserve">Roof</t>
  </si>
  <si>
    <t xml:space="preserve">Kairis - large storage roof materials</t>
  </si>
  <si>
    <t xml:space="preserve">Plumbing</t>
  </si>
  <si>
    <t xml:space="preserve">Plumbing pipes floor1+storage (card part)</t>
  </si>
  <si>
    <t xml:space="preserve">Plumbing pipes floor1+storage (cash part)</t>
  </si>
  <si>
    <t xml:space="preserve">2026-04-09</t>
  </si>
  <si>
    <t xml:space="preserve">Plumber advance #1</t>
  </si>
  <si>
    <t xml:space="preserve">Plumber</t>
  </si>
  <si>
    <t xml:space="preserve">2026-04-21</t>
  </si>
  <si>
    <t xml:space="preserve">Additional plumbing materials</t>
  </si>
  <si>
    <t xml:space="preserve">Storage insulation materials</t>
  </si>
  <si>
    <t xml:space="preserve">2026-04-28</t>
  </si>
  <si>
    <t xml:space="preserve">Team leader (8 days) - storage+house</t>
  </si>
  <si>
    <t xml:space="preserve">Workers (13 worker-days)</t>
  </si>
  <si>
    <t xml:space="preserve">2026-04-30</t>
  </si>
  <si>
    <t xml:space="preserve">Plumber advance #2 - additional work</t>
  </si>
  <si>
    <t xml:space="preserve">2026-05-10</t>
  </si>
  <si>
    <t xml:space="preserve">Team leader (8 days) - back gate/small storage</t>
  </si>
  <si>
    <t xml:space="preserve">Fuel - cement mixer</t>
  </si>
  <si>
    <t xml:space="preserve">Windows/Iron</t>
  </si>
  <si>
    <t xml:space="preserve">Advance - ironworker (large storage door)</t>
  </si>
  <si>
    <t xml:space="preserve">Blacksmith</t>
  </si>
  <si>
    <t xml:space="preserve">Workers social security (remaining)</t>
  </si>
  <si>
    <t xml:space="preserve">Kairis - forms/iron/cement/coat/lime</t>
  </si>
  <si>
    <t xml:space="preserve">2026-05-09</t>
  </si>
  <si>
    <t xml:space="preserve">Amanatidis - extra materials</t>
  </si>
  <si>
    <t xml:space="preserve">2026-03-23</t>
  </si>
  <si>
    <t xml:space="preserve">Amanatidis - materials</t>
  </si>
  <si>
    <t xml:space="preserve">2026-05-16</t>
  </si>
  <si>
    <t xml:space="preserve">Old front gate repair + wheels</t>
  </si>
  <si>
    <t xml:space="preserve">Plumber payment #3</t>
  </si>
  <si>
    <t xml:space="preserve">Kairis - 3F panels+small-storage roof+Ytong+coat</t>
  </si>
  <si>
    <t xml:space="preserve">Electrician advance - Apt B conduits</t>
  </si>
  <si>
    <t xml:space="preserve">Team leader (6 days)</t>
  </si>
  <si>
    <t xml:space="preserve">2026-05-23</t>
  </si>
  <si>
    <t xml:space="preserve">Aluminium inner door+window - large storage (TECHNICAL)</t>
  </si>
  <si>
    <t xml:space="preserve">TECHNICAL</t>
  </si>
  <si>
    <t xml:space="preserve">Workers (18 wd) week May19-23</t>
  </si>
  <si>
    <t xml:space="preserve">Team leader Meli (4 days)</t>
  </si>
  <si>
    <t xml:space="preserve">Replacement contractor (4 days)</t>
  </si>
  <si>
    <t xml:space="preserve">Contractor</t>
  </si>
  <si>
    <t xml:space="preserve">Kairis - waste containers (3)</t>
  </si>
  <si>
    <t xml:space="preserve">Kairis - upper floor materials</t>
  </si>
  <si>
    <t xml:space="preserve">2026-05-26</t>
  </si>
  <si>
    <t xml:space="preserve">Kairis - partial debt settlement (of €3,335)</t>
  </si>
  <si>
    <t xml:space="preserve">Owner certificates x2 (Yael+Kobi)</t>
  </si>
  <si>
    <t xml:space="preserve">Vasiliki</t>
  </si>
  <si>
    <t xml:space="preserve">transfer (NBG)</t>
  </si>
  <si>
    <t xml:space="preserve">2026-05-18</t>
  </si>
  <si>
    <t xml:space="preserve">Tax registration - accountant (SIANOS)</t>
  </si>
  <si>
    <t xml:space="preserve">Accountant</t>
  </si>
  <si>
    <t xml:space="preserve">2026-05-06</t>
  </si>
  <si>
    <t xml:space="preserve">Land registry - temporal certification</t>
  </si>
  <si>
    <t xml:space="preserve">Land registry</t>
  </si>
  <si>
    <t xml:space="preserve">2026-05-25</t>
  </si>
  <si>
    <t xml:space="preserve">Ice cream - worker treat</t>
  </si>
  <si>
    <t xml:space="preserve">Meli Ice Cream</t>
  </si>
  <si>
    <t xml:space="preserve">2026-05-28</t>
  </si>
  <si>
    <t xml:space="preserve">Excavator - open + close plumbing/electrical channels</t>
  </si>
  <si>
    <t xml:space="preserve">Excavator</t>
  </si>
  <si>
    <t xml:space="preserve">Plumber - 3 days corner-to-corner pipe sealing</t>
  </si>
  <si>
    <t xml:space="preserve">Electrician advance - power to Yael unit</t>
  </si>
  <si>
    <t xml:space="preserve">Plumber - materials &amp; pipes (infrastructure)</t>
  </si>
  <si>
    <t xml:space="preserve">2026-06-01</t>
  </si>
  <si>
    <t xml:space="preserve">Workers wages week May26-31</t>
  </si>
  <si>
    <t xml:space="preserve">3-component epoxy coating - Yael unit floor</t>
  </si>
  <si>
    <t xml:space="preserve">2026-06-06</t>
  </si>
  <si>
    <t xml:space="preserve">Workers wages week Jun2-6</t>
  </si>
  <si>
    <t xml:space="preserve">Workers+Meli</t>
  </si>
  <si>
    <t xml:space="preserve">Precast septic rings+cover+crane - Yael unit</t>
  </si>
  <si>
    <t xml:space="preserve">Kairis - waste container</t>
  </si>
  <si>
    <t xml:space="preserve">Site fuel</t>
  </si>
  <si>
    <t xml:space="preserve">Old mattress removal - front area</t>
  </si>
  <si>
    <t xml:space="preserve">Removal</t>
  </si>
  <si>
    <t xml:space="preserve">Kairis - 10 sacks (running tab)</t>
  </si>
  <si>
    <t xml:space="preserve">Kairis - partial payment (of €4,045)</t>
  </si>
  <si>
    <t xml:space="preserve">Bathroom fixtures - Yael unit</t>
  </si>
  <si>
    <t xml:space="preserve">Diamantopoulos</t>
  </si>
  <si>
    <t xml:space="preserve">Wise</t>
  </si>
  <si>
    <t xml:space="preserve">No</t>
  </si>
  <si>
    <t xml:space="preserve">2026-06-07</t>
  </si>
  <si>
    <t xml:space="preserve">Workers Jun7 Sunday (Meli+1)</t>
  </si>
  <si>
    <t xml:space="preserve">2026-06-13</t>
  </si>
  <si>
    <t xml:space="preserve">Transport - bathroom supplies from Athens</t>
  </si>
  <si>
    <t xml:space="preserve">Istiaia transport</t>
  </si>
  <si>
    <t xml:space="preserve">Workers Mon+Tue (4/day)</t>
  </si>
  <si>
    <t xml:space="preserve">Meli Mon+Tue</t>
  </si>
  <si>
    <t xml:space="preserve">Workers Wed+Thu (4+ESAT)</t>
  </si>
  <si>
    <t xml:space="preserve">Meli Wed+Thu</t>
  </si>
  <si>
    <t xml:space="preserve">Workers Fri+Sat (5+ESAT)</t>
  </si>
  <si>
    <t xml:space="preserve">Meli Fri+Sat</t>
  </si>
  <si>
    <t xml:space="preserve">Ilir - roof welding (Fri)</t>
  </si>
  <si>
    <t xml:space="preserve">Ilir</t>
  </si>
  <si>
    <t xml:space="preserve">Ilir - roof welding (Sat)</t>
  </si>
  <si>
    <t xml:space="preserve">Site fuel week Jun8-13</t>
  </si>
  <si>
    <t xml:space="preserve">Kairis materials week Jun8-13</t>
  </si>
  <si>
    <t xml:space="preserve">Extension cable</t>
  </si>
  <si>
    <t xml:space="preserve">Tarpaulin (rain protection)</t>
  </si>
  <si>
    <t xml:space="preserve">Concrete roof anchors + resin</t>
  </si>
  <si>
    <t xml:space="preserve">2026-06-15</t>
  </si>
  <si>
    <t xml:space="preserve">Kairis - partial payment (bal -&gt; ~€400)</t>
  </si>
  <si>
    <t xml:space="preserve">2026-06-18</t>
  </si>
  <si>
    <t xml:space="preserve">Athens shopping - Yael unit fit-out (door/AC/heater/window/access.)</t>
  </si>
  <si>
    <t xml:space="preserve">Athens suppliers</t>
  </si>
  <si>
    <t xml:space="preserve">card (Vicky)</t>
  </si>
  <si>
    <t xml:space="preserve">2026-06-24</t>
  </si>
  <si>
    <t xml:space="preserve">Demolition hammer drill (STRIGOS) - charge to Antonis contract</t>
  </si>
  <si>
    <t xml:space="preserve">STRIGOS SERVICE</t>
  </si>
  <si>
    <t xml:space="preserve">2026-06-19</t>
  </si>
  <si>
    <t xml:space="preserve">Tiles</t>
  </si>
  <si>
    <t xml:space="preserve">Spanish tiles 'Crosscut Marfil' 60x60 25.88m²</t>
  </si>
  <si>
    <t xml:space="preserve">Tsintonis</t>
  </si>
  <si>
    <t xml:space="preserve">2026-06-22</t>
  </si>
  <si>
    <t xml:space="preserve">Workers week Jun16-21 (incl polished cement)</t>
  </si>
  <si>
    <t xml:space="preserve">Kairis materials week Jun15-21</t>
  </si>
  <si>
    <t xml:space="preserve">Furniture</t>
  </si>
  <si>
    <t xml:space="preserve">Iron bed frame+bedside tables+slats - Yael</t>
  </si>
  <si>
    <t xml:space="preserve">Bedding/pillows/bedspread - Yael unit</t>
  </si>
  <si>
    <t xml:space="preserve">Vicky</t>
  </si>
  <si>
    <t xml:space="preserve">Site fuel week Jun16-21</t>
  </si>
  <si>
    <t xml:space="preserve">Kairis debt settlement (old bal+materials)</t>
  </si>
  <si>
    <t xml:space="preserve">Beam (structural) + rendering materials</t>
  </si>
  <si>
    <t xml:space="preserve">2026-06-25</t>
  </si>
  <si>
    <t xml:space="preserve">Custom mattress - Yael unit (195x170 30cm)</t>
  </si>
  <si>
    <t xml:space="preserve">Local mfr</t>
  </si>
  <si>
    <t xml:space="preserve">2026-06-27</t>
  </si>
  <si>
    <t xml:space="preserve">Cleaning materials - Yael unit (Jun 27)</t>
  </si>
  <si>
    <t xml:space="preserve">2026-07-05</t>
  </si>
  <si>
    <t xml:space="preserve">Sand and gravel - week Jun29-Jul5</t>
  </si>
  <si>
    <t xml:space="preserve">2026-07-10</t>
  </si>
  <si>
    <t xml:space="preserve">Fuel - concrete mixers week Jun29-Jul5</t>
  </si>
  <si>
    <t xml:space="preserve">Steel reinforcement - wall bond beams above door openings</t>
  </si>
  <si>
    <t xml:space="preserve">Kairis - column reinforcement steel, cement, resin anchors</t>
  </si>
  <si>
    <t xml:space="preserve">Workers wages - week Jun29-Jul5</t>
  </si>
  <si>
    <t xml:space="preserve">Kairis - SikaGrout/reinforcement materials (partial payment toward new balance)</t>
  </si>
  <si>
    <t xml:space="preserve">2026-07-12</t>
  </si>
  <si>
    <t xml:space="preserve">Workers wages - week Jul7-12</t>
  </si>
  <si>
    <t xml:space="preserve">2026-07-19</t>
  </si>
  <si>
    <t xml:space="preserve">Workers wages Mon-Wed - week Jul13-19</t>
  </si>
  <si>
    <t xml:space="preserve">2026-07-20</t>
  </si>
  <si>
    <t xml:space="preserve">Concrete mixer - week Jul13-19</t>
  </si>
  <si>
    <t xml:space="preserve">Site</t>
  </si>
  <si>
    <t xml:space="preserve">Binding wire and steel-tying materials - week Jul13-19</t>
  </si>
  <si>
    <t xml:space="preserve">2026-07-23</t>
  </si>
  <si>
    <t xml:space="preserve">Kairis - cash payment toward outstanding materials debt (applied to column/beam debt + additional item)</t>
  </si>
  <si>
    <t xml:space="preserve">2026-07-27</t>
  </si>
  <si>
    <t xml:space="preserve">Workers wages + concrete mixer cost, week of Jul20-24 (small crew, few days on site)</t>
  </si>
  <si>
    <t xml:space="preserve">Site crew</t>
  </si>
  <si>
    <t xml:space="preserve">2026-07-29</t>
  </si>
  <si>
    <t xml:space="preserve">Kairis - cash payment toward outstanding materials debt (remainder applied to next SikaGrout order)</t>
  </si>
  <si>
    <t xml:space="preserve">2026-09-25</t>
  </si>
  <si>
    <t xml:space="preserve">Kairis - cash payment toward SikaGrout order balance (Vicky Sep 29: balance now EUR4,400 after this payment)</t>
  </si>
  <si>
    <t xml:space="preserve">Remainder of Sep 25 EUR3,000 NBG withdrawal - cash float, allocation TBC (nails/steel strips ~EUR45, mixer petrol; possibly water fee EUR400 / ELEC deposit)</t>
  </si>
  <si>
    <t xml:space="preserve">Vicky (cash float)</t>
  </si>
  <si>
    <t xml:space="preserve">2026-09-29</t>
  </si>
  <si>
    <t xml:space="preserve">Kairis - EUR1,000 payment toward SikaGrout balance from Sep 29 EUR3,000 withdrawal (inferred: NBG balance Oct 5 ties to three EUR3,000 withdrawals since Jul 29)</t>
  </si>
  <si>
    <t xml:space="preserve">2026-10-03</t>
  </si>
  <si>
    <t xml:space="preserve">Workers wages - week Sep 28-Oct 3 (4/4/3/4/3/3 workers Mon-Sat)</t>
  </si>
  <si>
    <t xml:space="preserve">Fuel - week Sep 28-Oct 3 (EUR2.20/l)</t>
  </si>
  <si>
    <t xml:space="preserve">Construction materials - week Sep 28-Oct 3</t>
  </si>
  <si>
    <t xml:space="preserve">Kairis - EUR1,050 payment toward SikaGrout debt (EUR3,000 -&gt; EUR1,950 remaining)</t>
  </si>
  <si>
    <t xml:space="preserve">2026-06-28</t>
  </si>
  <si>
    <t xml:space="preserve">Materials - week Jun25-28 (Yael unit completion)</t>
  </si>
  <si>
    <t xml:space="preserve">2026-06-29</t>
  </si>
  <si>
    <t xml:space="preserve">Plumber - Yael unit completion</t>
  </si>
  <si>
    <t xml:space="preserve">Carpenter - Yael unit (bedside tables/countertop/door)</t>
  </si>
  <si>
    <t xml:space="preserve">Carpenter</t>
  </si>
  <si>
    <t xml:space="preserve">Marble for shower - Yael unit</t>
  </si>
  <si>
    <t xml:space="preserve">Site fuel week Jun25-28</t>
  </si>
  <si>
    <t xml:space="preserve">Workers week Jun25-28 (Yael unit + site)</t>
  </si>
  <si>
    <t xml:space="preserve">Electrician - 2 apts+2 storages+outdoor</t>
  </si>
  <si>
    <t xml:space="preserve">Committed</t>
  </si>
  <si>
    <t xml:space="preserve">Electrical plans - submitted to authority</t>
  </si>
  <si>
    <t xml:space="preserve">Three-phase meter (Kobi's name)</t>
  </si>
  <si>
    <t xml:space="preserve">Electrician advance - 130m piping reimb.</t>
  </si>
  <si>
    <t xml:space="preserve">Metalworker - small storage door+window</t>
  </si>
  <si>
    <t xml:space="preserve">Metalworker</t>
  </si>
  <si>
    <t xml:space="preserve">Excavator - road compaction (60t roller)</t>
  </si>
  <si>
    <t xml:space="preserve">Worker insurance Apr-Jun - partial payment</t>
  </si>
  <si>
    <t xml:space="preserve">2026-07-21</t>
  </si>
  <si>
    <t xml:space="preserve">Worker insurance Apr-Jun - second partial payment</t>
  </si>
  <si>
    <t xml:space="preserve">Worker insurance Apr-Jun - remaining balance</t>
  </si>
  <si>
    <t xml:space="preserve">Kairis - partial payment (ATM shortfall from last week)</t>
  </si>
  <si>
    <t xml:space="preserve">Kairis - remaining balance</t>
  </si>
  <si>
    <t xml:space="preserve">2026-07-11</t>
  </si>
  <si>
    <t xml:space="preserve">Kairis - SikaGrout HP340 order (200 bags) + steel - partly delivered Sep; outstanding balance per Vicky Oct 3 EUR1,950 incl. EUR45 old balance (Sep 29 EUR4,400 -&gt; EUR3,000 before Oct 3 payment; EUR400 gap vs logged payments, see flag 13)</t>
  </si>
  <si>
    <t xml:space="preserve">Kairis - partial payment toward column/beam debt</t>
  </si>
  <si>
    <t xml:space="preserve">2026-09-12</t>
  </si>
  <si>
    <t xml:space="preserve">Water connection fee (mains) + water meter purchase - one-off, now connected to mains supply</t>
  </si>
  <si>
    <t xml:space="preserve">Accountant (POS transfer attempted Sep 12, declined - payment method to be resolved)</t>
  </si>
  <si>
    <t xml:space="preserve">pending</t>
  </si>
  <si>
    <t xml:space="preserve">Workers wages - week of Sep 21-27 (crew back on site Sep 24)</t>
  </si>
  <si>
    <t xml:space="preserve">Reinforcement steel, column ties, 15x D16 6m connecting bars + nails</t>
  </si>
  <si>
    <t xml:space="preserve">Petrol for concrete mixer (column pour)</t>
  </si>
  <si>
    <t xml:space="preserve">2026-09-26</t>
  </si>
  <si>
    <t xml:space="preserve">Electricity provider - 50% advance to reactivate 1969 meter + relocate to lower entrance (incl. install permit + supply approval); Vicky paid Sep 26, covered by Sep 29 withdrawal</t>
  </si>
  <si>
    <t xml:space="preserve">Electricity provider</t>
  </si>
  <si>
    <t xml:space="preserve">Electricity provider - remaining 50% for meter reactivation/relocation (Vicky Oct 3: paying Oct 4 from Oct 3 withdrawal)</t>
  </si>
  <si>
    <t xml:space="preserve">2026-10-04</t>
  </si>
  <si>
    <t xml:space="preserve">2026-09-23</t>
  </si>
  <si>
    <t xml:space="preserve">Electricity bill (meter still in Anagnostou name) - Vicky to hand cash to Stathis Oct 2</t>
  </si>
  <si>
    <t xml:space="preserve">Anagnostou (Stathis)</t>
  </si>
  <si>
    <t xml:space="preserve">PAID — total</t>
  </si>
  <si>
    <t xml:space="preserve">COMMITTED (approved, unpaid)</t>
  </si>
  <si>
    <t xml:space="preserve">PAID — from NBG (cash/transfer)</t>
  </si>
  <si>
    <t xml:space="preserve">PAID — outside NBG (Wise/card)</t>
  </si>
  <si>
    <t xml:space="preserve">Funding — Deposits into NBG Account</t>
  </si>
  <si>
    <t xml:space="preserve">Israel → NBG GR18 0110 3180 0000 3180 0400 611. All amounts EUR received. Source: bank transfer confirmations in /Money Transfers.</t>
  </si>
  <si>
    <t xml:space="preserve">Value date</t>
  </si>
  <si>
    <t xml:space="preserve">Bank ref</t>
  </si>
  <si>
    <t xml:space="preserve">Greek-side confirmation</t>
  </si>
  <si>
    <t xml:space="preserve">Counted?</t>
  </si>
  <si>
    <t xml:space="preserve">2025-09-28</t>
  </si>
  <si>
    <t xml:space="preserve">55423</t>
  </si>
  <si>
    <t xml:space="preserve">PDF OtherBankMatachTransfer_25_09 to GR18-0400611</t>
  </si>
  <si>
    <t xml:space="preserve">55758</t>
  </si>
  <si>
    <t xml:space="preserve">PDF OtherBankMatachTransfer_26_09</t>
  </si>
  <si>
    <t xml:space="preserve">2025-10-12</t>
  </si>
  <si>
    <t xml:space="preserve">63360</t>
  </si>
  <si>
    <t xml:space="preserve">PDF OtherBankMatachTransfer_12_10</t>
  </si>
  <si>
    <t xml:space="preserve">2026-01-11</t>
  </si>
  <si>
    <t xml:space="preserve">14452</t>
  </si>
  <si>
    <t xml:space="preserve">PDF OtherBankMatachTransfer_10_01</t>
  </si>
  <si>
    <t xml:space="preserve">2026-02-08</t>
  </si>
  <si>
    <t xml:space="preserve">30860</t>
  </si>
  <si>
    <t xml:space="preserve">Confirmed - bank statement (ref 30860) + project_data.js</t>
  </si>
  <si>
    <t xml:space="preserve">2026-04-26</t>
  </si>
  <si>
    <t xml:space="preserve">70724</t>
  </si>
  <si>
    <t xml:space="preserve">PDF OtherBankMatachTransfer_26_04</t>
  </si>
  <si>
    <t xml:space="preserve">2026-05-31</t>
  </si>
  <si>
    <t xml:space="preserve">90833</t>
  </si>
  <si>
    <t xml:space="preserve">Transfer to WISE as backup - not spent; NOT a Greek NBG deposit</t>
  </si>
  <si>
    <t xml:space="preserve">2026-07-13</t>
  </si>
  <si>
    <t xml:space="preserve">wire-Jul13</t>
  </si>
  <si>
    <t xml:space="preserve">Kobi confirmed - Israel to NBG transfer (Mizrahi)</t>
  </si>
  <si>
    <t xml:space="preserve">TOTAL DEPOSITS (counted)</t>
  </si>
  <si>
    <t xml:space="preserve">Ground truth: Mizrahi-Tefahot euro account statement (Sikum Haavarot Matach 2.pdf, 01/01/2024-22/06/2026). Rows above are the transfer-to-another-bank lines to the Greek NBG account in the project period. 2024 transfers (EUR 10k, 1.7k) excluded as pre-project.</t>
  </si>
  <si>
    <t xml:space="preserve">Israeli euro account still held ~EUR 64,786 liquid + EUR 70,000 in a term deposit (23-Apr) as of 10-Jun-2026 - available for future project funding.</t>
  </si>
  <si>
    <t xml:space="preserve">Property Acquisition (2025)</t>
  </si>
  <si>
    <t xml:space="preserve">Purchase of two-storey residence + plot, Agios Nikolaos. Contract price €145,000 (objective value €239,793.82). Paid from NBG account.</t>
  </si>
  <si>
    <t xml:space="preserve">Date</t>
  </si>
  <si>
    <t xml:space="preserve">Item</t>
  </si>
  <si>
    <t xml:space="preserve">Payee</t>
  </si>
  <si>
    <t xml:space="preserve">Note</t>
  </si>
  <si>
    <t xml:space="preserve">2025-09-29</t>
  </si>
  <si>
    <t xml:space="preserve">House payment 1 - pre-agreement advance</t>
  </si>
  <si>
    <t xml:space="preserve">Anagnostou</t>
  </si>
  <si>
    <t xml:space="preserve">Bank transfer</t>
  </si>
  <si>
    <t xml:space="preserve">2025-10-22</t>
  </si>
  <si>
    <t xml:space="preserve">House payment 2 - via Zoe (issued check to seller)</t>
  </si>
  <si>
    <t xml:space="preserve">Anagnostou / Zoe</t>
  </si>
  <si>
    <t xml:space="preserve">Bank transfer to Zoe -&gt; check to Anagnostou</t>
  </si>
  <si>
    <t xml:space="preserve">House payment 2 - balance (direct)</t>
  </si>
  <si>
    <t xml:space="preserve">Direct bank transfer</t>
  </si>
  <si>
    <t xml:space="preserve">2025-10-17</t>
  </si>
  <si>
    <t xml:space="preserve">Purchase tax (FMA, incl 0.9% joint discount)</t>
  </si>
  <si>
    <t xml:space="preserve">via Zoi Koliou</t>
  </si>
  <si>
    <t xml:space="preserve">Transfer to Zoe</t>
  </si>
  <si>
    <t xml:space="preserve">2025-11-05</t>
  </si>
  <si>
    <t xml:space="preserve">Zoe commission</t>
  </si>
  <si>
    <t xml:space="preserve">Zoi Koliou</t>
  </si>
  <si>
    <t xml:space="preserve">ATM cash via our debit card (800+2000+1000+550)</t>
  </si>
  <si>
    <t xml:space="preserve">Attorney - Vasiliki</t>
  </si>
  <si>
    <t xml:space="preserve">Cash withdrawn by Zoe</t>
  </si>
  <si>
    <t xml:space="preserve">Land registration fee</t>
  </si>
  <si>
    <t xml:space="preserve">Transfer to Vasiliki (pays on our behalf)</t>
  </si>
  <si>
    <t xml:space="preserve">2025-10-24</t>
  </si>
  <si>
    <t xml:space="preserve">Notary (Vasiliki)</t>
  </si>
  <si>
    <t xml:space="preserve">Mavri / Vasiliki</t>
  </si>
  <si>
    <t xml:space="preserve">Legalization (engineer) - transfer 1</t>
  </si>
  <si>
    <t xml:space="preserve">Vicky (Revolut LT)</t>
  </si>
  <si>
    <t xml:space="preserve">Pergola/rooftop/2 warehouses/wells</t>
  </si>
  <si>
    <t xml:space="preserve">2025-10-01</t>
  </si>
  <si>
    <t xml:space="preserve">Legalization (engineer) - transfer 2</t>
  </si>
  <si>
    <t xml:space="preserve">Legalization (engineer) - transfer 3</t>
  </si>
  <si>
    <t xml:space="preserve">Antonis</t>
  </si>
  <si>
    <t xml:space="preserve">2025</t>
  </si>
  <si>
    <t xml:space="preserve">Legalization (engineer) - cash balance</t>
  </si>
  <si>
    <t xml:space="preserve">Cash</t>
  </si>
  <si>
    <t xml:space="preserve">Cash portion (total legalization = EUR 5,000)</t>
  </si>
  <si>
    <t xml:space="preserve">Notary &amp; apostille - NBG account setup</t>
  </si>
  <si>
    <t xml:space="preserve">Paid from Israel (to open the account)</t>
  </si>
  <si>
    <t xml:space="preserve">Flight to Evia - purchase trip</t>
  </si>
  <si>
    <t xml:space="preserve">Travel, paid from Israel</t>
  </si>
  <si>
    <t xml:space="preserve">ACQUISITION TOTAL (all)</t>
  </si>
  <si>
    <t xml:space="preserve">of which paid from NBG</t>
  </si>
  <si>
    <t xml:space="preserve">Source: 'Agio Nikolaos house payments' sheet, 'Actual' table. House price EUR 145,231 (18,500 + 107,000 + 19,731).</t>
  </si>
  <si>
    <t xml:space="preserve">Payments Outside NBG  +  Vicky Reimbursements</t>
  </si>
  <si>
    <t xml:space="preserve">Project costs paid via Wise or by card (not from the NBG account), plus reimbursement transfers to Vicky. These expenses are already counted once in the Renovation Ledger.</t>
  </si>
  <si>
    <t xml:space="preserve">Bathroom fixtures (Diamantopoulos)</t>
  </si>
  <si>
    <t xml:space="preserve">In ledger</t>
  </si>
  <si>
    <t xml:space="preserve">Athens shopping - Yael unit fit-out</t>
  </si>
  <si>
    <t xml:space="preserve">In ledger; reimbursed €972.55 below</t>
  </si>
  <si>
    <t xml:space="preserve">Spanish tiles (Tsintonis)</t>
  </si>
  <si>
    <t xml:space="preserve">In ledger; NBG was blocked</t>
  </si>
  <si>
    <t xml:space="preserve">Bedding/pillows/bedspread - Yael</t>
  </si>
  <si>
    <t xml:space="preserve">In ledger; to net vs window cost</t>
  </si>
  <si>
    <t xml:space="preserve">Subtotal</t>
  </si>
  <si>
    <t xml:space="preserve">REIMBURSEMENTS TO VICKY (cash-flow only — not additional project cost)</t>
  </si>
  <si>
    <t xml:space="preserve">Reimburse Athens/Praktiker card spend</t>
  </si>
  <si>
    <t xml:space="preserve">Wise → Revolut</t>
  </si>
  <si>
    <t xml:space="preserve">Settles only the €972.55 Praktiker spend (not the €380 drill). LT853250002013391261</t>
  </si>
  <si>
    <t xml:space="preserve">Category Rollup — Paid vs Budget</t>
  </si>
  <si>
    <t xml:space="preserve">Paid = actuals from the Renovation Ledger (SUMIF). Budget = working estimates (Budget Overview / project_data forecast). Remaining is indicative.</t>
  </si>
  <si>
    <t xml:space="preserve">Paid to date (€)</t>
  </si>
  <si>
    <t xml:space="preserve">Working budget (€)</t>
  </si>
  <si>
    <t xml:space="preserve">Notes</t>
  </si>
  <si>
    <t xml:space="preserve">Workers, Meli, ESAT, Ilir, contractors</t>
  </si>
  <si>
    <t xml:space="preserve">Kairis main account, Amanatidis, sundries</t>
  </si>
  <si>
    <t xml:space="preserve">All floors; ~€7.2k balance after water connection</t>
  </si>
  <si>
    <t xml:space="preserve">GF+storage approved €11,250; upper floors TBD</t>
  </si>
  <si>
    <t xml:space="preserve">Excavation, 160m road, compaction</t>
  </si>
  <si>
    <t xml:space="preserve">3F panels, storage roofs</t>
  </si>
  <si>
    <t xml:space="preserve">Storage done; ~25 house openings upcoming</t>
  </si>
  <si>
    <t xml:space="preserve">Recycle/waste containers</t>
  </si>
  <si>
    <t xml:space="preserve">€286 paid; ~€25k order+install upcoming</t>
  </si>
  <si>
    <t xml:space="preserve">Yael unit bed, mattress, bedding</t>
  </si>
  <si>
    <t xml:space="preserve">Insurance, certificates, SIM, accountant</t>
  </si>
  <si>
    <t xml:space="preserve">Gardener, irrigation</t>
  </si>
  <si>
    <t xml:space="preserve">Tools</t>
  </si>
  <si>
    <t xml:space="preserve">Misc</t>
  </si>
  <si>
    <t xml:space="preserve">TOTAL</t>
  </si>
  <si>
    <t xml:space="preserve">NBG Account Reconciliation (official statement)</t>
  </si>
  <si>
    <t xml:space="preserve">Account 31800400611, period 01/10/2025-25/06/2026. Ties to the cent. Source: NBG statement export25-06-2026.xlsx.</t>
  </si>
  <si>
    <t xml:space="preserve">Opening balance 01/10/2025</t>
  </si>
  <si>
    <t xml:space="preserve">Embeds Sep-2025: +EUR25k +EUR15k transfers, -EUR18,500 down-payment, -fees</t>
  </si>
  <si>
    <t xml:space="preserve">+ Deposits received (in period)</t>
  </si>
  <si>
    <t xml:space="preserve">EUR130k (13-Oct) + EUR10k (12-Jan) + EUR20k (09-Feb) + EUR70k (27-Apr)</t>
  </si>
  <si>
    <t xml:space="preserve">- Property acquisition &amp; legal (transfers)</t>
  </si>
  <si>
    <t xml:space="preserve">House 126,730.81 + tax 7,410 + notary 2,490 + land reg 1,328.47 + owner cert 200 + land-reg temp 100 + legalization 620 + 580</t>
  </si>
  <si>
    <t xml:space="preserve">- Acquisition paid in cash (Nov-2025)</t>
  </si>
  <si>
    <t xml:space="preserve">Zoe commission 4,350 + Vasiliki 2,000</t>
  </si>
  <si>
    <t xml:space="preserve">- Renovation/project cash withdrawals (ATM)</t>
  </si>
  <si>
    <t xml:space="preserve">Cash for workers, Kairis, materials, etc.</t>
  </si>
  <si>
    <t xml:space="preserve">- Renovation card payments (POS)</t>
  </si>
  <si>
    <t xml:space="preserve">Amanatidis 1,524.32 + GKIZA 1,440 + aluminium 1,150 + drill 380.60</t>
  </si>
  <si>
    <t xml:space="preserve">- Accountant - tax registration</t>
  </si>
  <si>
    <t xml:space="preserve">SIANOS PANTAZIS, 18-May</t>
  </si>
  <si>
    <t xml:space="preserve">- Personal card spend</t>
  </si>
  <si>
    <t xml:space="preserve">Jan groceries/cafe (LIDL etc.)</t>
  </si>
  <si>
    <t xml:space="preserve">- Bank fees &amp; charges</t>
  </si>
  <si>
    <t xml:space="preserve">In-period commissions</t>
  </si>
  <si>
    <t xml:space="preserve">Computed closing balance</t>
  </si>
  <si>
    <t xml:space="preserve">Statement closing balance 25/06/2026</t>
  </si>
  <si>
    <t xml:space="preserve">Difference (ties to zero)</t>
  </si>
  <si>
    <t xml:space="preserve">Cross-check - renovation funded from NBG</t>
  </si>
  <si>
    <t xml:space="preserve">Renovation from NBG per ledger</t>
  </si>
  <si>
    <t xml:space="preserve">Statement NBG renovation outflow (cash 64,730 + POS 4,494.92 + accountant 711)</t>
  </si>
  <si>
    <t xml:space="preserve">Difference = cash float / timing (+ ~300 legal items the statement groups under acquisition)</t>
  </si>
  <si>
    <t xml:space="preserve">The NBG account is fully reconciled to the official statement - there is NO unexplained money.</t>
  </si>
  <si>
    <t xml:space="preserve">The small ledger-vs-statement difference is cash float (cash withdrawn vs spent timing). ATM withdrawals are exact; renovation cash expenses are reconstructed weekly estimates.</t>
  </si>
  <si>
    <t xml:space="preserve">ROLLING BRIDGE — since last full statement (2026-06-25)</t>
  </si>
  <si>
    <t xml:space="preserve">Opening — statement closing balance (2026-06-25)</t>
  </si>
  <si>
    <t xml:space="preserve">+ Deposits since (dynamic — recalculates as new transfers are added)</t>
  </si>
  <si>
    <t xml:space="preserve">- Renovation paid from NBG since (dynamic — recalculates as new expenses are added)</t>
  </si>
  <si>
    <t xml:space="preserve">Computed balance (bridge)</t>
  </si>
  <si>
    <t xml:space="preserve">Reported balance (2026-10-05)</t>
  </si>
  <si>
    <t xml:space="preserve">Residual (bridge − reported)</t>
  </si>
  <si>
    <t xml:space="preserve">A residual here is expected cash-float/timing (ATM withdrawals vs itemized weekly reconstructions), or spending not yet reported to Kobi -- see Flags &amp; Dedup. It is NOT unexplained/missing money unless it grows unexpectedly large or keeps widening.</t>
  </si>
  <si>
    <t xml:space="preserve">Flags &amp; De-duplication Log</t>
  </si>
  <si>
    <t xml:space="preserve">Resolved items (green) and open questions (yellow). Nothing here is double-counted in the totals.</t>
  </si>
  <si>
    <t xml:space="preserve">#</t>
  </si>
  <si>
    <t xml:space="preserve">Issue</t>
  </si>
  <si>
    <t xml:space="preserve">How handled</t>
  </si>
  <si>
    <t xml:space="preserve">Action needed</t>
  </si>
  <si>
    <t xml:space="preserve">1</t>
  </si>
  <si>
    <t xml:space="preserve">Feb-8-2026 €20,000 transfer</t>
  </si>
  <si>
    <t xml:space="preserve">Confirmed in the Mizrahi euro-account statement (ref 30860) and project_data.js. Counted in deposits.</t>
  </si>
  <si>
    <t xml:space="preserve">Resolved</t>
  </si>
  <si>
    <t xml:space="preserve">None.</t>
  </si>
  <si>
    <t xml:space="preserve">2</t>
  </si>
  <si>
    <t xml:space="preserve">Hammer drill €380 (18-Jun)</t>
  </si>
  <si>
    <t xml:space="preserve">Confirmed SEPARATE from the €972.55 Athens shopping; added as its own line, charged to the Antonis contract.</t>
  </si>
  <si>
    <t xml:space="preserve">Recover the €380 by deducting it from the Antonis contract balance.</t>
  </si>
  <si>
    <t xml:space="preserve">3</t>
  </si>
  <si>
    <t xml:space="preserve">Vicky reimbursement €972.55 (Wise)</t>
  </si>
  <si>
    <t xml:space="preserve">A settlement of the €972.55 Athens expense; shown only on the Out-of-NBG tab, never double-counted.</t>
  </si>
  <si>
    <t xml:space="preserve">None - you confirmed it was sent.</t>
  </si>
  <si>
    <t xml:space="preserve">4</t>
  </si>
  <si>
    <t xml:space="preserve">May-28 cluster: excavator €600, plumber €1,000, electrician €1,000, plumber materials €300</t>
  </si>
  <si>
    <t xml:space="preserve">All FOUR confirmed real (WhatsApp 28-May + dashboard) and added to the ledger.</t>
  </si>
  <si>
    <t xml:space="preserve">5</t>
  </si>
  <si>
    <t xml:space="preserve">Early items missing from Drive sheet: aluminium €1,150, plumber adv#1 €1,000, gate €50</t>
  </si>
  <si>
    <t xml:space="preserve">Confirmed they belong; added to the ledger.</t>
  </si>
  <si>
    <t xml:space="preserve">6</t>
  </si>
  <si>
    <t xml:space="preserve">Acquisition detail and the €7,410 to Zoi</t>
  </si>
  <si>
    <t xml:space="preserve">Itemised from the Actual table: €7,410 is the property purchase TAX (FMA); balance split €107,000 (Zoe check) + €19,731 direct.</t>
  </si>
  <si>
    <t xml:space="preserve">10</t>
  </si>
  <si>
    <t xml:space="preserve">€2,000 transfer 31-May (ref 90833)</t>
  </si>
  <si>
    <t xml:space="preserve">Went to Wise as an unspent backup buffer; excluded from NBG deposits.</t>
  </si>
  <si>
    <t xml:space="preserve">7</t>
  </si>
  <si>
    <t xml:space="preserve">Reconciliation residual</t>
  </si>
  <si>
    <t xml:space="preserve">RESOLVED with the official NBG statement: the account reconciles to the cent (€35,202.94). The earlier residual was an expenses-vs-deposits artifact, not missing money.</t>
  </si>
  <si>
    <t xml:space="preserve">8</t>
  </si>
  <si>
    <t xml:space="preserve">Amanatidis + plumbing card payments (€2,140)</t>
  </si>
  <si>
    <t xml:space="preserve">RESOLVED per Kobi: paid with the NBG debit card; reclassified as From NBG = Yes.</t>
  </si>
  <si>
    <t xml:space="preserve">9</t>
  </si>
  <si>
    <t xml:space="preserve">Worker insurance Apr-Jun €3,858</t>
  </si>
  <si>
    <t xml:space="preserve">Not present in the NBG statement -&gt; confirms still UNPAID. Listed as Committed.</t>
  </si>
  <si>
    <t xml:space="preserve">OPEN</t>
  </si>
  <si>
    <t xml:space="preserve">Pay/confirm; then it moves to Paid.</t>
  </si>
  <si>
    <t xml:space="preserve">11</t>
  </si>
  <si>
    <t xml:space="preserve">EUR907.92 residual — rolling bridge (25-Jun to 11-Jul)</t>
  </si>
  <si>
    <t xml:space="preserve">Kobi reported the current NBG balance as EUR23,505.02 on 11-Jul-2026. The ledger only accounts for EUR10,790 in NBG-paid cash-out since the 25-Jun statement (EUR35,202.94), projecting EUR24,412.94 -- EUR907.92 more than reported. Consistent with the known cash-float pattern (round ATM withdrawals vs itemized weekly reconstructions) but could also be spending Vicky hasn't reported yet.</t>
  </si>
  <si>
    <t xml:space="preserve">Ask Vicky to confirm — either an ATM withdrawal that ran ahead of itemized expenses, or a payment not yet reported in the WhatsApp group.</t>
  </si>
  <si>
    <t xml:space="preserve">12</t>
  </si>
  <si>
    <t xml:space="preserve">Rolling bridge residual -EUR2,212.06 (Oct 2)</t>
  </si>
  <si>
    <t xml:space="preserve">Anchor balance (EUR58,805) is from 29-Jul and predates the 25-Sep EUR3,000 withdrawal now logged as Paid (EUR2,350 Kairis + EUR650 unallocated float). Kobi said ~EUR58K on 24-Sep (approx, not used as anchor). Residual moved by exactly the EUR3,000 -- anchor staleness, not missing money.</t>
  </si>
  <si>
    <t xml:space="preserve">Superseded by flag 13 (fresh NBG balance EUR49,805 on Oct 5).</t>
  </si>
  <si>
    <t xml:space="preserve">13</t>
  </si>
  <si>
    <t xml:space="preserve">NBG balance EUR49,805 (Oct 5) + Kairis EUR400 gap</t>
  </si>
  <si>
    <t xml:space="preserve">Kobi reported EUR49,805 on 5-Oct = EUR58,805 (29-Jul) minus exactly three EUR3,000 ATM withdrawals (Sep 25, Sep 29, Oct 3). Sep 29 committed items (wages 950, steel 750, petrol 40, ELEC advance 250) + inferred Kairis 1,000 moved to Paid; Oct 3 report logged (wages 1,510, fuel 50, materials 150, ELEC 250, Kairis 1,050 = EUR3,010). Kairis: Sep 29 balance EUR4,400 minus logged EUR1,000 = EUR3,400, but Vicky Oct 3 says EUR3,000 -&gt; EUR400 paid from somewhere unlogged (likely the Sep 25 EUR650 float).</t>
  </si>
  <si>
    <t xml:space="preserve">Ask Vicky: did EUR400 of the Sep 25 float go to Kairis? Confirm how the rest of the EUR650 float was spent. Rolling-bridge residual is the remaining cash-float timing gap.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</si>
</sst>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\€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6E0F0"/>
      </patternFill>
    </fill>
    <fill>
      <patternFill patternType="solid">
        <fgColor rgb="FFFFC7CE"/>
        <bgColor rgb="FFD6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f aca="false">'Funding (NBG Deposits)'!B13</f>
        <v>320000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f aca="false">'Property Acquisition 2025'!D19</f>
        <v>171709</v>
      </c>
      <c r="C6" s="6" t="s">
        <v>6</v>
      </c>
    </row>
    <row r="7" customFormat="false" ht="22.35" hidden="false" customHeight="false" outlineLevel="0" collapsed="false">
      <c r="A7" s="4" t="s">
        <v>7</v>
      </c>
      <c r="B7" s="8" t="n">
        <v>49805</v>
      </c>
      <c r="C7" s="6" t="s">
        <v>8</v>
      </c>
    </row>
    <row r="9" customFormat="false" ht="15" hidden="false" customHeight="false" outlineLevel="0" collapsed="false">
      <c r="A9" s="3" t="s">
        <v>9</v>
      </c>
      <c r="B9" s="3"/>
      <c r="C9" s="3"/>
      <c r="D9" s="3"/>
    </row>
    <row r="10" customFormat="false" ht="15" hidden="false" customHeight="false" outlineLevel="0" collapsed="false">
      <c r="A10" s="4" t="s">
        <v>10</v>
      </c>
      <c r="B10" s="9" t="n">
        <f aca="false">'Renovation Ledger'!E167</f>
        <v>108161.47</v>
      </c>
      <c r="C10" s="6" t="s">
        <v>11</v>
      </c>
    </row>
    <row r="11" customFormat="false" ht="15" hidden="false" customHeight="false" outlineLevel="0" collapsed="false">
      <c r="A11" s="4" t="s">
        <v>12</v>
      </c>
      <c r="B11" s="10" t="n">
        <f aca="false">'Renovation Ledger'!E168</f>
        <v>15945</v>
      </c>
      <c r="C11" s="6" t="s">
        <v>13</v>
      </c>
    </row>
    <row r="12" customFormat="false" ht="15" hidden="false" customHeight="false" outlineLevel="0" collapsed="false">
      <c r="A12" s="4" t="s">
        <v>14</v>
      </c>
      <c r="B12" s="5" t="n">
        <f aca="false">'Property Acquisition 2025'!D19+'Renovation Ledger'!E167</f>
        <v>279870.47</v>
      </c>
      <c r="C12" s="6" t="s">
        <v>15</v>
      </c>
    </row>
    <row r="14" customFormat="false" ht="15" hidden="false" customHeight="false" outlineLevel="0" collapsed="false">
      <c r="A14" s="3" t="s">
        <v>16</v>
      </c>
      <c r="B14" s="3"/>
      <c r="C14" s="3"/>
      <c r="D14" s="3"/>
    </row>
    <row r="15" customFormat="false" ht="15" hidden="false" customHeight="false" outlineLevel="0" collapsed="false">
      <c r="A15" s="4" t="s">
        <v>17</v>
      </c>
      <c r="B15" s="11" t="n">
        <f aca="false">Reconciliation!C16</f>
        <v>0</v>
      </c>
      <c r="C15" s="6" t="s">
        <v>18</v>
      </c>
    </row>
    <row r="17" customFormat="false" ht="15" hidden="false" customHeight="false" outlineLevel="0" collapsed="false">
      <c r="A17" s="12" t="s">
        <v>19</v>
      </c>
      <c r="B17" s="12"/>
      <c r="C17" s="12"/>
      <c r="D17" s="12"/>
    </row>
  </sheetData>
  <mergeCells count="6">
    <mergeCell ref="A1:D1"/>
    <mergeCell ref="A2:D2"/>
    <mergeCell ref="A4:D4"/>
    <mergeCell ref="A9:D9"/>
    <mergeCell ref="A14:D1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13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</row>
    <row r="5" customFormat="false" ht="15" hidden="false" customHeight="false" outlineLevel="0" collapsed="false">
      <c r="A5" s="14" t="s">
        <v>31</v>
      </c>
      <c r="B5" s="14" t="s">
        <v>32</v>
      </c>
      <c r="C5" s="14" t="s">
        <v>33</v>
      </c>
      <c r="D5" s="14" t="s">
        <v>34</v>
      </c>
      <c r="E5" s="15" t="n">
        <v>992</v>
      </c>
      <c r="F5" s="16" t="s">
        <v>35</v>
      </c>
      <c r="G5" s="16" t="s">
        <v>36</v>
      </c>
      <c r="H5" s="17" t="s">
        <v>37</v>
      </c>
      <c r="I5" s="14" t="s">
        <v>31</v>
      </c>
    </row>
    <row r="6" customFormat="false" ht="15" hidden="false" customHeight="false" outlineLevel="0" collapsed="false">
      <c r="A6" s="14" t="s">
        <v>31</v>
      </c>
      <c r="B6" s="14" t="s">
        <v>38</v>
      </c>
      <c r="C6" s="14" t="s">
        <v>39</v>
      </c>
      <c r="D6" s="14" t="s">
        <v>40</v>
      </c>
      <c r="E6" s="15" t="n">
        <v>880</v>
      </c>
      <c r="F6" s="16" t="s">
        <v>35</v>
      </c>
      <c r="G6" s="16" t="s">
        <v>36</v>
      </c>
      <c r="H6" s="17" t="s">
        <v>37</v>
      </c>
      <c r="I6" s="14" t="s">
        <v>31</v>
      </c>
    </row>
    <row r="7" customFormat="false" ht="15" hidden="false" customHeight="false" outlineLevel="0" collapsed="false">
      <c r="A7" s="14" t="s">
        <v>31</v>
      </c>
      <c r="B7" s="14" t="s">
        <v>38</v>
      </c>
      <c r="C7" s="14" t="s">
        <v>41</v>
      </c>
      <c r="D7" s="14" t="s">
        <v>42</v>
      </c>
      <c r="E7" s="15" t="n">
        <v>900</v>
      </c>
      <c r="F7" s="16" t="s">
        <v>35</v>
      </c>
      <c r="G7" s="16" t="s">
        <v>36</v>
      </c>
      <c r="H7" s="17" t="s">
        <v>37</v>
      </c>
      <c r="I7" s="14" t="s">
        <v>31</v>
      </c>
    </row>
    <row r="8" customFormat="false" ht="15" hidden="false" customHeight="false" outlineLevel="0" collapsed="false">
      <c r="A8" s="14" t="s">
        <v>31</v>
      </c>
      <c r="B8" s="14" t="s">
        <v>43</v>
      </c>
      <c r="C8" s="14" t="s">
        <v>44</v>
      </c>
      <c r="D8" s="14" t="s">
        <v>45</v>
      </c>
      <c r="E8" s="15" t="n">
        <v>250</v>
      </c>
      <c r="F8" s="16" t="s">
        <v>35</v>
      </c>
      <c r="G8" s="16" t="s">
        <v>36</v>
      </c>
      <c r="H8" s="17" t="s">
        <v>37</v>
      </c>
      <c r="I8" s="14" t="s">
        <v>31</v>
      </c>
    </row>
    <row r="9" customFormat="false" ht="15" hidden="false" customHeight="false" outlineLevel="0" collapsed="false">
      <c r="A9" s="14" t="s">
        <v>31</v>
      </c>
      <c r="B9" s="14" t="s">
        <v>46</v>
      </c>
      <c r="C9" s="14" t="s">
        <v>47</v>
      </c>
      <c r="D9" s="14" t="s">
        <v>48</v>
      </c>
      <c r="E9" s="15" t="n">
        <v>250</v>
      </c>
      <c r="F9" s="16" t="s">
        <v>35</v>
      </c>
      <c r="G9" s="16" t="s">
        <v>36</v>
      </c>
      <c r="H9" s="17" t="s">
        <v>37</v>
      </c>
      <c r="I9" s="14" t="s">
        <v>31</v>
      </c>
    </row>
    <row r="10" customFormat="false" ht="15" hidden="false" customHeight="false" outlineLevel="0" collapsed="false">
      <c r="A10" s="14" t="s">
        <v>49</v>
      </c>
      <c r="B10" s="14" t="s">
        <v>32</v>
      </c>
      <c r="C10" s="14" t="s">
        <v>50</v>
      </c>
      <c r="D10" s="14" t="s">
        <v>34</v>
      </c>
      <c r="E10" s="15" t="n">
        <v>248</v>
      </c>
      <c r="F10" s="16" t="s">
        <v>35</v>
      </c>
      <c r="G10" s="16" t="s">
        <v>36</v>
      </c>
      <c r="H10" s="17" t="s">
        <v>37</v>
      </c>
      <c r="I10" s="14" t="s">
        <v>49</v>
      </c>
    </row>
    <row r="11" customFormat="false" ht="15" hidden="false" customHeight="false" outlineLevel="0" collapsed="false">
      <c r="A11" s="14" t="s">
        <v>49</v>
      </c>
      <c r="B11" s="14" t="s">
        <v>51</v>
      </c>
      <c r="C11" s="14" t="s">
        <v>52</v>
      </c>
      <c r="D11" s="14" t="s">
        <v>53</v>
      </c>
      <c r="E11" s="15" t="n">
        <v>431.48</v>
      </c>
      <c r="F11" s="16" t="s">
        <v>54</v>
      </c>
      <c r="G11" s="16" t="s">
        <v>36</v>
      </c>
      <c r="H11" s="17" t="s">
        <v>37</v>
      </c>
      <c r="I11" s="14" t="s">
        <v>49</v>
      </c>
    </row>
    <row r="12" customFormat="false" ht="15" hidden="false" customHeight="false" outlineLevel="0" collapsed="false">
      <c r="A12" s="14" t="s">
        <v>49</v>
      </c>
      <c r="B12" s="14" t="s">
        <v>38</v>
      </c>
      <c r="C12" s="14" t="s">
        <v>55</v>
      </c>
      <c r="D12" s="14" t="s">
        <v>42</v>
      </c>
      <c r="E12" s="15" t="n">
        <v>800</v>
      </c>
      <c r="F12" s="16" t="s">
        <v>35</v>
      </c>
      <c r="G12" s="16" t="s">
        <v>36</v>
      </c>
      <c r="H12" s="17" t="s">
        <v>37</v>
      </c>
      <c r="I12" s="14" t="s">
        <v>49</v>
      </c>
    </row>
    <row r="13" customFormat="false" ht="15" hidden="false" customHeight="false" outlineLevel="0" collapsed="false">
      <c r="A13" s="14" t="s">
        <v>49</v>
      </c>
      <c r="B13" s="14" t="s">
        <v>38</v>
      </c>
      <c r="C13" s="14" t="s">
        <v>56</v>
      </c>
      <c r="D13" s="14" t="s">
        <v>40</v>
      </c>
      <c r="E13" s="15" t="n">
        <v>560</v>
      </c>
      <c r="F13" s="16" t="s">
        <v>35</v>
      </c>
      <c r="G13" s="16" t="s">
        <v>36</v>
      </c>
      <c r="H13" s="17" t="s">
        <v>37</v>
      </c>
      <c r="I13" s="14" t="s">
        <v>49</v>
      </c>
    </row>
    <row r="14" customFormat="false" ht="15" hidden="false" customHeight="false" outlineLevel="0" collapsed="false">
      <c r="A14" s="14" t="s">
        <v>49</v>
      </c>
      <c r="B14" s="14" t="s">
        <v>46</v>
      </c>
      <c r="C14" s="14" t="s">
        <v>57</v>
      </c>
      <c r="D14" s="14" t="s">
        <v>58</v>
      </c>
      <c r="E14" s="15" t="n">
        <v>120</v>
      </c>
      <c r="F14" s="16" t="s">
        <v>35</v>
      </c>
      <c r="G14" s="16" t="s">
        <v>36</v>
      </c>
      <c r="H14" s="17" t="s">
        <v>37</v>
      </c>
      <c r="I14" s="14" t="s">
        <v>49</v>
      </c>
    </row>
    <row r="15" customFormat="false" ht="15" hidden="false" customHeight="false" outlineLevel="0" collapsed="false">
      <c r="A15" s="14" t="s">
        <v>49</v>
      </c>
      <c r="B15" s="14" t="s">
        <v>51</v>
      </c>
      <c r="C15" s="14" t="s">
        <v>59</v>
      </c>
      <c r="D15" s="14" t="s">
        <v>34</v>
      </c>
      <c r="E15" s="15" t="n">
        <v>350</v>
      </c>
      <c r="F15" s="16" t="s">
        <v>35</v>
      </c>
      <c r="G15" s="16" t="s">
        <v>36</v>
      </c>
      <c r="H15" s="17" t="s">
        <v>37</v>
      </c>
      <c r="I15" s="14" t="s">
        <v>49</v>
      </c>
    </row>
    <row r="16" customFormat="false" ht="15" hidden="false" customHeight="false" outlineLevel="0" collapsed="false">
      <c r="A16" s="14" t="s">
        <v>60</v>
      </c>
      <c r="B16" s="14" t="s">
        <v>51</v>
      </c>
      <c r="C16" s="14" t="s">
        <v>61</v>
      </c>
      <c r="D16" s="14" t="s">
        <v>34</v>
      </c>
      <c r="E16" s="15" t="n">
        <v>220</v>
      </c>
      <c r="F16" s="16" t="s">
        <v>35</v>
      </c>
      <c r="G16" s="16" t="s">
        <v>36</v>
      </c>
      <c r="H16" s="17" t="s">
        <v>37</v>
      </c>
      <c r="I16" s="14" t="s">
        <v>60</v>
      </c>
    </row>
    <row r="17" customFormat="false" ht="15" hidden="false" customHeight="false" outlineLevel="0" collapsed="false">
      <c r="A17" s="14" t="s">
        <v>60</v>
      </c>
      <c r="B17" s="14" t="s">
        <v>51</v>
      </c>
      <c r="C17" s="14" t="s">
        <v>62</v>
      </c>
      <c r="D17" s="14" t="s">
        <v>53</v>
      </c>
      <c r="E17" s="15" t="n">
        <v>800.07</v>
      </c>
      <c r="F17" s="16" t="s">
        <v>54</v>
      </c>
      <c r="G17" s="16" t="s">
        <v>36</v>
      </c>
      <c r="H17" s="17" t="s">
        <v>37</v>
      </c>
      <c r="I17" s="14" t="s">
        <v>60</v>
      </c>
    </row>
    <row r="18" customFormat="false" ht="15" hidden="false" customHeight="false" outlineLevel="0" collapsed="false">
      <c r="A18" s="14" t="s">
        <v>60</v>
      </c>
      <c r="B18" s="14" t="s">
        <v>38</v>
      </c>
      <c r="C18" s="14" t="s">
        <v>63</v>
      </c>
      <c r="D18" s="14" t="s">
        <v>40</v>
      </c>
      <c r="E18" s="15" t="n">
        <v>400</v>
      </c>
      <c r="F18" s="16" t="s">
        <v>35</v>
      </c>
      <c r="G18" s="16" t="s">
        <v>36</v>
      </c>
      <c r="H18" s="17" t="s">
        <v>37</v>
      </c>
      <c r="I18" s="14" t="s">
        <v>60</v>
      </c>
    </row>
    <row r="19" customFormat="false" ht="15" hidden="false" customHeight="false" outlineLevel="0" collapsed="false">
      <c r="A19" s="14" t="s">
        <v>60</v>
      </c>
      <c r="B19" s="14" t="s">
        <v>38</v>
      </c>
      <c r="C19" s="14" t="s">
        <v>64</v>
      </c>
      <c r="D19" s="14" t="s">
        <v>42</v>
      </c>
      <c r="E19" s="15" t="n">
        <v>350</v>
      </c>
      <c r="F19" s="16" t="s">
        <v>35</v>
      </c>
      <c r="G19" s="16" t="s">
        <v>36</v>
      </c>
      <c r="H19" s="17" t="s">
        <v>37</v>
      </c>
      <c r="I19" s="14" t="s">
        <v>60</v>
      </c>
    </row>
    <row r="20" customFormat="false" ht="15" hidden="false" customHeight="false" outlineLevel="0" collapsed="false">
      <c r="A20" s="14" t="s">
        <v>60</v>
      </c>
      <c r="B20" s="14" t="s">
        <v>32</v>
      </c>
      <c r="C20" s="14" t="s">
        <v>50</v>
      </c>
      <c r="D20" s="14" t="s">
        <v>34</v>
      </c>
      <c r="E20" s="15" t="n">
        <v>248</v>
      </c>
      <c r="F20" s="16" t="s">
        <v>35</v>
      </c>
      <c r="G20" s="16" t="s">
        <v>36</v>
      </c>
      <c r="H20" s="17" t="s">
        <v>37</v>
      </c>
      <c r="I20" s="14" t="s">
        <v>60</v>
      </c>
    </row>
    <row r="21" customFormat="false" ht="15" hidden="false" customHeight="false" outlineLevel="0" collapsed="false">
      <c r="A21" s="14" t="s">
        <v>60</v>
      </c>
      <c r="B21" s="14" t="s">
        <v>51</v>
      </c>
      <c r="C21" s="14" t="s">
        <v>59</v>
      </c>
      <c r="D21" s="14" t="s">
        <v>34</v>
      </c>
      <c r="E21" s="15" t="n">
        <v>350</v>
      </c>
      <c r="F21" s="16" t="s">
        <v>35</v>
      </c>
      <c r="G21" s="16" t="s">
        <v>36</v>
      </c>
      <c r="H21" s="17" t="s">
        <v>37</v>
      </c>
      <c r="I21" s="14" t="s">
        <v>60</v>
      </c>
    </row>
    <row r="22" customFormat="false" ht="15" hidden="false" customHeight="false" outlineLevel="0" collapsed="false">
      <c r="A22" s="14" t="s">
        <v>65</v>
      </c>
      <c r="B22" s="14" t="s">
        <v>66</v>
      </c>
      <c r="C22" s="14" t="s">
        <v>67</v>
      </c>
      <c r="D22" s="14" t="s">
        <v>68</v>
      </c>
      <c r="E22" s="15" t="n">
        <v>50</v>
      </c>
      <c r="F22" s="16" t="s">
        <v>35</v>
      </c>
      <c r="G22" s="16" t="s">
        <v>36</v>
      </c>
      <c r="H22" s="17" t="s">
        <v>37</v>
      </c>
      <c r="I22" s="14" t="s">
        <v>65</v>
      </c>
    </row>
    <row r="23" customFormat="false" ht="15" hidden="false" customHeight="false" outlineLevel="0" collapsed="false">
      <c r="A23" s="14" t="s">
        <v>65</v>
      </c>
      <c r="B23" s="14" t="s">
        <v>38</v>
      </c>
      <c r="C23" s="14" t="s">
        <v>69</v>
      </c>
      <c r="D23" s="14" t="s">
        <v>42</v>
      </c>
      <c r="E23" s="15" t="n">
        <v>450</v>
      </c>
      <c r="F23" s="16" t="s">
        <v>35</v>
      </c>
      <c r="G23" s="16" t="s">
        <v>36</v>
      </c>
      <c r="H23" s="17" t="s">
        <v>37</v>
      </c>
      <c r="I23" s="14" t="s">
        <v>65</v>
      </c>
    </row>
    <row r="24" customFormat="false" ht="15" hidden="false" customHeight="false" outlineLevel="0" collapsed="false">
      <c r="A24" s="14" t="s">
        <v>65</v>
      </c>
      <c r="B24" s="14" t="s">
        <v>38</v>
      </c>
      <c r="C24" s="14" t="s">
        <v>63</v>
      </c>
      <c r="D24" s="14" t="s">
        <v>40</v>
      </c>
      <c r="E24" s="15" t="n">
        <v>400</v>
      </c>
      <c r="F24" s="16" t="s">
        <v>35</v>
      </c>
      <c r="G24" s="16" t="s">
        <v>36</v>
      </c>
      <c r="H24" s="17" t="s">
        <v>37</v>
      </c>
      <c r="I24" s="14" t="s">
        <v>65</v>
      </c>
    </row>
    <row r="25" customFormat="false" ht="15" hidden="false" customHeight="false" outlineLevel="0" collapsed="false">
      <c r="A25" s="14" t="s">
        <v>65</v>
      </c>
      <c r="B25" s="14" t="s">
        <v>32</v>
      </c>
      <c r="C25" s="14" t="s">
        <v>70</v>
      </c>
      <c r="D25" s="14" t="s">
        <v>34</v>
      </c>
      <c r="E25" s="15" t="n">
        <v>124</v>
      </c>
      <c r="F25" s="16" t="s">
        <v>35</v>
      </c>
      <c r="G25" s="16" t="s">
        <v>36</v>
      </c>
      <c r="H25" s="17" t="s">
        <v>37</v>
      </c>
      <c r="I25" s="14" t="s">
        <v>65</v>
      </c>
    </row>
    <row r="26" customFormat="false" ht="15" hidden="false" customHeight="false" outlineLevel="0" collapsed="false">
      <c r="A26" s="14" t="s">
        <v>65</v>
      </c>
      <c r="B26" s="14" t="s">
        <v>71</v>
      </c>
      <c r="C26" s="14" t="s">
        <v>72</v>
      </c>
      <c r="D26" s="14" t="s">
        <v>73</v>
      </c>
      <c r="E26" s="15" t="n">
        <v>30</v>
      </c>
      <c r="F26" s="16" t="s">
        <v>35</v>
      </c>
      <c r="G26" s="16" t="s">
        <v>36</v>
      </c>
      <c r="H26" s="17" t="s">
        <v>37</v>
      </c>
      <c r="I26" s="14" t="s">
        <v>65</v>
      </c>
    </row>
    <row r="27" customFormat="false" ht="15" hidden="false" customHeight="false" outlineLevel="0" collapsed="false">
      <c r="A27" s="14" t="s">
        <v>74</v>
      </c>
      <c r="B27" s="14" t="s">
        <v>38</v>
      </c>
      <c r="C27" s="14" t="s">
        <v>75</v>
      </c>
      <c r="D27" s="14" t="s">
        <v>42</v>
      </c>
      <c r="E27" s="15" t="n">
        <v>600</v>
      </c>
      <c r="F27" s="16" t="s">
        <v>35</v>
      </c>
      <c r="G27" s="16" t="s">
        <v>36</v>
      </c>
      <c r="H27" s="17" t="s">
        <v>37</v>
      </c>
      <c r="I27" s="14" t="s">
        <v>74</v>
      </c>
    </row>
    <row r="28" customFormat="false" ht="15" hidden="false" customHeight="false" outlineLevel="0" collapsed="false">
      <c r="A28" s="14" t="s">
        <v>74</v>
      </c>
      <c r="B28" s="14" t="s">
        <v>38</v>
      </c>
      <c r="C28" s="14" t="s">
        <v>76</v>
      </c>
      <c r="D28" s="14" t="s">
        <v>40</v>
      </c>
      <c r="E28" s="15" t="n">
        <v>240</v>
      </c>
      <c r="F28" s="16" t="s">
        <v>35</v>
      </c>
      <c r="G28" s="16" t="s">
        <v>36</v>
      </c>
      <c r="H28" s="17" t="s">
        <v>37</v>
      </c>
      <c r="I28" s="14" t="s">
        <v>74</v>
      </c>
    </row>
    <row r="29" customFormat="false" ht="15" hidden="false" customHeight="false" outlineLevel="0" collapsed="false">
      <c r="A29" s="14" t="s">
        <v>74</v>
      </c>
      <c r="B29" s="14" t="s">
        <v>77</v>
      </c>
      <c r="C29" s="14" t="s">
        <v>78</v>
      </c>
      <c r="D29" s="14" t="s">
        <v>79</v>
      </c>
      <c r="E29" s="15" t="n">
        <v>350</v>
      </c>
      <c r="F29" s="16" t="s">
        <v>35</v>
      </c>
      <c r="G29" s="16" t="s">
        <v>36</v>
      </c>
      <c r="H29" s="17" t="s">
        <v>37</v>
      </c>
      <c r="I29" s="14" t="s">
        <v>74</v>
      </c>
    </row>
    <row r="30" customFormat="false" ht="15" hidden="false" customHeight="false" outlineLevel="0" collapsed="false">
      <c r="A30" s="14" t="s">
        <v>74</v>
      </c>
      <c r="B30" s="14" t="s">
        <v>43</v>
      </c>
      <c r="C30" s="14" t="s">
        <v>80</v>
      </c>
      <c r="D30" s="14" t="s">
        <v>81</v>
      </c>
      <c r="E30" s="15" t="n">
        <v>600</v>
      </c>
      <c r="F30" s="16" t="s">
        <v>35</v>
      </c>
      <c r="G30" s="16" t="s">
        <v>36</v>
      </c>
      <c r="H30" s="17" t="s">
        <v>37</v>
      </c>
      <c r="I30" s="14" t="s">
        <v>74</v>
      </c>
    </row>
    <row r="31" customFormat="false" ht="15" hidden="false" customHeight="false" outlineLevel="0" collapsed="false">
      <c r="A31" s="14" t="s">
        <v>74</v>
      </c>
      <c r="B31" s="14" t="s">
        <v>82</v>
      </c>
      <c r="C31" s="14" t="s">
        <v>83</v>
      </c>
      <c r="D31" s="14" t="s">
        <v>84</v>
      </c>
      <c r="E31" s="15" t="n">
        <v>3700</v>
      </c>
      <c r="F31" s="16" t="s">
        <v>35</v>
      </c>
      <c r="G31" s="16" t="s">
        <v>36</v>
      </c>
      <c r="H31" s="17" t="s">
        <v>37</v>
      </c>
      <c r="I31" s="14" t="s">
        <v>74</v>
      </c>
    </row>
    <row r="32" customFormat="false" ht="15" hidden="false" customHeight="false" outlineLevel="0" collapsed="false">
      <c r="A32" s="14" t="s">
        <v>74</v>
      </c>
      <c r="B32" s="14" t="s">
        <v>51</v>
      </c>
      <c r="C32" s="14" t="s">
        <v>85</v>
      </c>
      <c r="D32" s="14" t="s">
        <v>34</v>
      </c>
      <c r="E32" s="15" t="n">
        <v>2216</v>
      </c>
      <c r="F32" s="16" t="s">
        <v>35</v>
      </c>
      <c r="G32" s="16" t="s">
        <v>36</v>
      </c>
      <c r="H32" s="17" t="s">
        <v>37</v>
      </c>
      <c r="I32" s="14" t="s">
        <v>74</v>
      </c>
    </row>
    <row r="33" customFormat="false" ht="15" hidden="false" customHeight="false" outlineLevel="0" collapsed="false">
      <c r="A33" s="14" t="s">
        <v>86</v>
      </c>
      <c r="B33" s="14" t="s">
        <v>77</v>
      </c>
      <c r="C33" s="14" t="s">
        <v>87</v>
      </c>
      <c r="D33" s="14" t="s">
        <v>88</v>
      </c>
      <c r="E33" s="15" t="n">
        <v>2200</v>
      </c>
      <c r="F33" s="16" t="s">
        <v>35</v>
      </c>
      <c r="G33" s="16" t="s">
        <v>36</v>
      </c>
      <c r="H33" s="17" t="s">
        <v>37</v>
      </c>
      <c r="I33" s="14" t="s">
        <v>86</v>
      </c>
    </row>
    <row r="34" customFormat="false" ht="15" hidden="false" customHeight="false" outlineLevel="0" collapsed="false">
      <c r="A34" s="14" t="s">
        <v>89</v>
      </c>
      <c r="B34" s="14" t="s">
        <v>51</v>
      </c>
      <c r="C34" s="14" t="s">
        <v>90</v>
      </c>
      <c r="D34" s="14" t="s">
        <v>34</v>
      </c>
      <c r="E34" s="15" t="n">
        <v>500</v>
      </c>
      <c r="F34" s="16" t="s">
        <v>35</v>
      </c>
      <c r="G34" s="16" t="s">
        <v>36</v>
      </c>
      <c r="H34" s="17" t="s">
        <v>37</v>
      </c>
      <c r="I34" s="14" t="s">
        <v>89</v>
      </c>
    </row>
    <row r="35" customFormat="false" ht="15" hidden="false" customHeight="false" outlineLevel="0" collapsed="false">
      <c r="A35" s="14" t="s">
        <v>89</v>
      </c>
      <c r="B35" s="14" t="s">
        <v>38</v>
      </c>
      <c r="C35" s="14" t="s">
        <v>63</v>
      </c>
      <c r="D35" s="14" t="s">
        <v>40</v>
      </c>
      <c r="E35" s="15" t="n">
        <v>400</v>
      </c>
      <c r="F35" s="16" t="s">
        <v>35</v>
      </c>
      <c r="G35" s="16" t="s">
        <v>36</v>
      </c>
      <c r="H35" s="17" t="s">
        <v>37</v>
      </c>
      <c r="I35" s="14" t="s">
        <v>89</v>
      </c>
    </row>
    <row r="36" customFormat="false" ht="15" hidden="false" customHeight="false" outlineLevel="0" collapsed="false">
      <c r="A36" s="14" t="s">
        <v>89</v>
      </c>
      <c r="B36" s="14" t="s">
        <v>38</v>
      </c>
      <c r="C36" s="14" t="s">
        <v>91</v>
      </c>
      <c r="D36" s="14" t="s">
        <v>42</v>
      </c>
      <c r="E36" s="15" t="n">
        <v>300</v>
      </c>
      <c r="F36" s="16" t="s">
        <v>35</v>
      </c>
      <c r="G36" s="16" t="s">
        <v>36</v>
      </c>
      <c r="H36" s="17" t="s">
        <v>37</v>
      </c>
      <c r="I36" s="14" t="s">
        <v>89</v>
      </c>
    </row>
    <row r="37" customFormat="false" ht="15" hidden="false" customHeight="false" outlineLevel="0" collapsed="false">
      <c r="A37" s="14" t="s">
        <v>89</v>
      </c>
      <c r="B37" s="14" t="s">
        <v>77</v>
      </c>
      <c r="C37" s="14" t="s">
        <v>92</v>
      </c>
      <c r="D37" s="14" t="s">
        <v>93</v>
      </c>
      <c r="E37" s="15" t="n">
        <v>50</v>
      </c>
      <c r="F37" s="16" t="s">
        <v>35</v>
      </c>
      <c r="G37" s="16" t="s">
        <v>36</v>
      </c>
      <c r="H37" s="17" t="s">
        <v>37</v>
      </c>
      <c r="I37" s="14" t="s">
        <v>89</v>
      </c>
    </row>
    <row r="38" customFormat="false" ht="15" hidden="false" customHeight="false" outlineLevel="0" collapsed="false">
      <c r="A38" s="14" t="s">
        <v>89</v>
      </c>
      <c r="B38" s="14" t="s">
        <v>51</v>
      </c>
      <c r="C38" s="14" t="s">
        <v>94</v>
      </c>
      <c r="D38" s="14" t="s">
        <v>45</v>
      </c>
      <c r="E38" s="15" t="n">
        <v>75</v>
      </c>
      <c r="F38" s="16" t="s">
        <v>35</v>
      </c>
      <c r="G38" s="16" t="s">
        <v>36</v>
      </c>
      <c r="H38" s="17" t="s">
        <v>37</v>
      </c>
      <c r="I38" s="14" t="s">
        <v>89</v>
      </c>
    </row>
    <row r="39" customFormat="false" ht="15" hidden="false" customHeight="false" outlineLevel="0" collapsed="false">
      <c r="A39" s="14" t="s">
        <v>89</v>
      </c>
      <c r="B39" s="14" t="s">
        <v>95</v>
      </c>
      <c r="C39" s="14" t="s">
        <v>96</v>
      </c>
      <c r="D39" s="14" t="s">
        <v>97</v>
      </c>
      <c r="E39" s="15" t="n">
        <v>200</v>
      </c>
      <c r="F39" s="16" t="s">
        <v>35</v>
      </c>
      <c r="G39" s="16" t="s">
        <v>36</v>
      </c>
      <c r="H39" s="17" t="s">
        <v>37</v>
      </c>
      <c r="I39" s="14" t="s">
        <v>89</v>
      </c>
    </row>
    <row r="40" customFormat="false" ht="15" hidden="false" customHeight="false" outlineLevel="0" collapsed="false">
      <c r="A40" s="14" t="s">
        <v>98</v>
      </c>
      <c r="B40" s="14" t="s">
        <v>51</v>
      </c>
      <c r="C40" s="14" t="s">
        <v>99</v>
      </c>
      <c r="D40" s="14" t="s">
        <v>34</v>
      </c>
      <c r="E40" s="15" t="n">
        <v>2950</v>
      </c>
      <c r="F40" s="16" t="s">
        <v>35</v>
      </c>
      <c r="G40" s="16" t="s">
        <v>36</v>
      </c>
      <c r="H40" s="17" t="s">
        <v>37</v>
      </c>
      <c r="I40" s="14" t="s">
        <v>98</v>
      </c>
    </row>
    <row r="41" customFormat="false" ht="15" hidden="false" customHeight="false" outlineLevel="0" collapsed="false">
      <c r="A41" s="14" t="s">
        <v>98</v>
      </c>
      <c r="B41" s="14" t="s">
        <v>38</v>
      </c>
      <c r="C41" s="14" t="s">
        <v>76</v>
      </c>
      <c r="D41" s="14" t="s">
        <v>40</v>
      </c>
      <c r="E41" s="15" t="n">
        <v>240</v>
      </c>
      <c r="F41" s="16" t="s">
        <v>35</v>
      </c>
      <c r="G41" s="16" t="s">
        <v>36</v>
      </c>
      <c r="H41" s="17" t="s">
        <v>37</v>
      </c>
      <c r="I41" s="14" t="s">
        <v>98</v>
      </c>
    </row>
    <row r="42" customFormat="false" ht="15" hidden="false" customHeight="false" outlineLevel="0" collapsed="false">
      <c r="A42" s="14" t="s">
        <v>98</v>
      </c>
      <c r="B42" s="14" t="s">
        <v>38</v>
      </c>
      <c r="C42" s="14" t="s">
        <v>91</v>
      </c>
      <c r="D42" s="14" t="s">
        <v>42</v>
      </c>
      <c r="E42" s="15" t="n">
        <v>300</v>
      </c>
      <c r="F42" s="16" t="s">
        <v>35</v>
      </c>
      <c r="G42" s="16" t="s">
        <v>36</v>
      </c>
      <c r="H42" s="17" t="s">
        <v>37</v>
      </c>
      <c r="I42" s="14" t="s">
        <v>98</v>
      </c>
    </row>
    <row r="43" customFormat="false" ht="15" hidden="false" customHeight="false" outlineLevel="0" collapsed="false">
      <c r="A43" s="14" t="s">
        <v>100</v>
      </c>
      <c r="B43" s="14" t="s">
        <v>38</v>
      </c>
      <c r="C43" s="14" t="s">
        <v>101</v>
      </c>
      <c r="D43" s="14" t="s">
        <v>42</v>
      </c>
      <c r="E43" s="15" t="n">
        <v>930</v>
      </c>
      <c r="F43" s="16" t="s">
        <v>35</v>
      </c>
      <c r="G43" s="16" t="s">
        <v>36</v>
      </c>
      <c r="H43" s="17" t="s">
        <v>37</v>
      </c>
      <c r="I43" s="14" t="s">
        <v>100</v>
      </c>
    </row>
    <row r="44" customFormat="false" ht="15" hidden="false" customHeight="false" outlineLevel="0" collapsed="false">
      <c r="A44" s="14" t="s">
        <v>102</v>
      </c>
      <c r="B44" s="14" t="s">
        <v>95</v>
      </c>
      <c r="C44" s="14" t="s">
        <v>103</v>
      </c>
      <c r="D44" s="14" t="s">
        <v>97</v>
      </c>
      <c r="E44" s="15" t="n">
        <v>100</v>
      </c>
      <c r="F44" s="16" t="s">
        <v>35</v>
      </c>
      <c r="G44" s="16" t="s">
        <v>36</v>
      </c>
      <c r="H44" s="17" t="s">
        <v>37</v>
      </c>
      <c r="I44" s="14" t="s">
        <v>102</v>
      </c>
    </row>
    <row r="45" customFormat="false" ht="15" hidden="false" customHeight="false" outlineLevel="0" collapsed="false">
      <c r="A45" s="14" t="s">
        <v>102</v>
      </c>
      <c r="B45" s="14" t="s">
        <v>104</v>
      </c>
      <c r="C45" s="14" t="s">
        <v>105</v>
      </c>
      <c r="D45" s="14" t="s">
        <v>34</v>
      </c>
      <c r="E45" s="15" t="n">
        <v>1350</v>
      </c>
      <c r="F45" s="16" t="s">
        <v>35</v>
      </c>
      <c r="G45" s="16" t="s">
        <v>36</v>
      </c>
      <c r="H45" s="17" t="s">
        <v>37</v>
      </c>
      <c r="I45" s="14" t="s">
        <v>102</v>
      </c>
    </row>
    <row r="46" customFormat="false" ht="15" hidden="false" customHeight="false" outlineLevel="0" collapsed="false">
      <c r="A46" s="14" t="s">
        <v>102</v>
      </c>
      <c r="B46" s="14" t="s">
        <v>106</v>
      </c>
      <c r="C46" s="14" t="s">
        <v>107</v>
      </c>
      <c r="D46" s="14" t="s">
        <v>45</v>
      </c>
      <c r="E46" s="15" t="n">
        <v>1140</v>
      </c>
      <c r="F46" s="16" t="s">
        <v>54</v>
      </c>
      <c r="G46" s="16" t="s">
        <v>36</v>
      </c>
      <c r="H46" s="17" t="s">
        <v>37</v>
      </c>
      <c r="I46" s="14" t="s">
        <v>102</v>
      </c>
    </row>
    <row r="47" customFormat="false" ht="15" hidden="false" customHeight="false" outlineLevel="0" collapsed="false">
      <c r="A47" s="14" t="s">
        <v>102</v>
      </c>
      <c r="B47" s="14" t="s">
        <v>106</v>
      </c>
      <c r="C47" s="14" t="s">
        <v>108</v>
      </c>
      <c r="D47" s="14" t="s">
        <v>45</v>
      </c>
      <c r="E47" s="15" t="n">
        <v>660</v>
      </c>
      <c r="F47" s="16" t="s">
        <v>35</v>
      </c>
      <c r="G47" s="16" t="s">
        <v>36</v>
      </c>
      <c r="H47" s="17" t="s">
        <v>37</v>
      </c>
      <c r="I47" s="14" t="s">
        <v>102</v>
      </c>
    </row>
    <row r="48" customFormat="false" ht="15" hidden="false" customHeight="false" outlineLevel="0" collapsed="false">
      <c r="A48" s="14" t="s">
        <v>109</v>
      </c>
      <c r="B48" s="14" t="s">
        <v>106</v>
      </c>
      <c r="C48" s="14" t="s">
        <v>110</v>
      </c>
      <c r="D48" s="14" t="s">
        <v>111</v>
      </c>
      <c r="E48" s="15" t="n">
        <v>1000</v>
      </c>
      <c r="F48" s="16" t="s">
        <v>35</v>
      </c>
      <c r="G48" s="16" t="s">
        <v>36</v>
      </c>
      <c r="H48" s="17" t="s">
        <v>37</v>
      </c>
      <c r="I48" s="14" t="s">
        <v>109</v>
      </c>
    </row>
    <row r="49" customFormat="false" ht="15" hidden="false" customHeight="false" outlineLevel="0" collapsed="false">
      <c r="A49" s="14" t="s">
        <v>112</v>
      </c>
      <c r="B49" s="14" t="s">
        <v>106</v>
      </c>
      <c r="C49" s="14" t="s">
        <v>113</v>
      </c>
      <c r="D49" s="14" t="s">
        <v>45</v>
      </c>
      <c r="E49" s="15" t="n">
        <v>660</v>
      </c>
      <c r="F49" s="16" t="s">
        <v>35</v>
      </c>
      <c r="G49" s="16" t="s">
        <v>36</v>
      </c>
      <c r="H49" s="17" t="s">
        <v>37</v>
      </c>
      <c r="I49" s="14" t="s">
        <v>112</v>
      </c>
    </row>
    <row r="50" customFormat="false" ht="15" hidden="false" customHeight="false" outlineLevel="0" collapsed="false">
      <c r="A50" s="14" t="s">
        <v>112</v>
      </c>
      <c r="B50" s="14" t="s">
        <v>51</v>
      </c>
      <c r="C50" s="14" t="s">
        <v>114</v>
      </c>
      <c r="D50" s="14" t="s">
        <v>34</v>
      </c>
      <c r="E50" s="15" t="n">
        <v>1600</v>
      </c>
      <c r="F50" s="16" t="s">
        <v>35</v>
      </c>
      <c r="G50" s="16" t="s">
        <v>36</v>
      </c>
      <c r="H50" s="17" t="s">
        <v>37</v>
      </c>
      <c r="I50" s="14" t="s">
        <v>112</v>
      </c>
    </row>
    <row r="51" customFormat="false" ht="15" hidden="false" customHeight="false" outlineLevel="0" collapsed="false">
      <c r="A51" s="14" t="s">
        <v>115</v>
      </c>
      <c r="B51" s="14" t="s">
        <v>38</v>
      </c>
      <c r="C51" s="14" t="s">
        <v>116</v>
      </c>
      <c r="D51" s="14" t="s">
        <v>40</v>
      </c>
      <c r="E51" s="15" t="n">
        <v>640</v>
      </c>
      <c r="F51" s="16" t="s">
        <v>35</v>
      </c>
      <c r="G51" s="16" t="s">
        <v>36</v>
      </c>
      <c r="H51" s="17" t="s">
        <v>37</v>
      </c>
      <c r="I51" s="14" t="s">
        <v>115</v>
      </c>
    </row>
    <row r="52" customFormat="false" ht="15" hidden="false" customHeight="false" outlineLevel="0" collapsed="false">
      <c r="A52" s="14" t="s">
        <v>115</v>
      </c>
      <c r="B52" s="14" t="s">
        <v>38</v>
      </c>
      <c r="C52" s="14" t="s">
        <v>117</v>
      </c>
      <c r="D52" s="14" t="s">
        <v>42</v>
      </c>
      <c r="E52" s="15" t="n">
        <v>650</v>
      </c>
      <c r="F52" s="16" t="s">
        <v>35</v>
      </c>
      <c r="G52" s="16" t="s">
        <v>36</v>
      </c>
      <c r="H52" s="17" t="s">
        <v>37</v>
      </c>
      <c r="I52" s="14" t="s">
        <v>115</v>
      </c>
    </row>
    <row r="53" customFormat="false" ht="15" hidden="false" customHeight="false" outlineLevel="0" collapsed="false">
      <c r="A53" s="14" t="s">
        <v>118</v>
      </c>
      <c r="B53" s="14" t="s">
        <v>106</v>
      </c>
      <c r="C53" s="14" t="s">
        <v>119</v>
      </c>
      <c r="D53" s="14" t="s">
        <v>111</v>
      </c>
      <c r="E53" s="15" t="n">
        <v>1000</v>
      </c>
      <c r="F53" s="16" t="s">
        <v>35</v>
      </c>
      <c r="G53" s="16" t="s">
        <v>36</v>
      </c>
      <c r="H53" s="17" t="s">
        <v>37</v>
      </c>
      <c r="I53" s="14" t="s">
        <v>118</v>
      </c>
    </row>
    <row r="54" customFormat="false" ht="15" hidden="false" customHeight="false" outlineLevel="0" collapsed="false">
      <c r="A54" s="14" t="s">
        <v>120</v>
      </c>
      <c r="B54" s="14" t="s">
        <v>38</v>
      </c>
      <c r="C54" s="14" t="s">
        <v>121</v>
      </c>
      <c r="D54" s="14" t="s">
        <v>40</v>
      </c>
      <c r="E54" s="15" t="n">
        <v>640</v>
      </c>
      <c r="F54" s="16" t="s">
        <v>35</v>
      </c>
      <c r="G54" s="16" t="s">
        <v>36</v>
      </c>
      <c r="H54" s="17" t="s">
        <v>37</v>
      </c>
      <c r="I54" s="14" t="s">
        <v>120</v>
      </c>
    </row>
    <row r="55" customFormat="false" ht="15" hidden="false" customHeight="false" outlineLevel="0" collapsed="false">
      <c r="A55" s="14" t="s">
        <v>120</v>
      </c>
      <c r="B55" s="14" t="s">
        <v>38</v>
      </c>
      <c r="C55" s="14" t="s">
        <v>55</v>
      </c>
      <c r="D55" s="14" t="s">
        <v>42</v>
      </c>
      <c r="E55" s="15" t="n">
        <v>800</v>
      </c>
      <c r="F55" s="16" t="s">
        <v>35</v>
      </c>
      <c r="G55" s="16" t="s">
        <v>36</v>
      </c>
      <c r="H55" s="17" t="s">
        <v>37</v>
      </c>
      <c r="I55" s="14" t="s">
        <v>120</v>
      </c>
    </row>
    <row r="56" customFormat="false" ht="15" hidden="false" customHeight="false" outlineLevel="0" collapsed="false">
      <c r="A56" s="14" t="s">
        <v>120</v>
      </c>
      <c r="B56" s="14" t="s">
        <v>71</v>
      </c>
      <c r="C56" s="14" t="s">
        <v>122</v>
      </c>
      <c r="D56" s="14" t="s">
        <v>73</v>
      </c>
      <c r="E56" s="15" t="n">
        <v>30</v>
      </c>
      <c r="F56" s="16" t="s">
        <v>35</v>
      </c>
      <c r="G56" s="16" t="s">
        <v>36</v>
      </c>
      <c r="H56" s="17" t="s">
        <v>37</v>
      </c>
      <c r="I56" s="14" t="s">
        <v>120</v>
      </c>
    </row>
    <row r="57" customFormat="false" ht="15" hidden="false" customHeight="false" outlineLevel="0" collapsed="false">
      <c r="A57" s="14" t="s">
        <v>120</v>
      </c>
      <c r="B57" s="14" t="s">
        <v>123</v>
      </c>
      <c r="C57" s="14" t="s">
        <v>124</v>
      </c>
      <c r="D57" s="14" t="s">
        <v>125</v>
      </c>
      <c r="E57" s="15" t="n">
        <v>350</v>
      </c>
      <c r="F57" s="16" t="s">
        <v>35</v>
      </c>
      <c r="G57" s="16" t="s">
        <v>36</v>
      </c>
      <c r="H57" s="17" t="s">
        <v>37</v>
      </c>
      <c r="I57" s="14" t="s">
        <v>120</v>
      </c>
    </row>
    <row r="58" customFormat="false" ht="15" hidden="false" customHeight="false" outlineLevel="0" collapsed="false">
      <c r="A58" s="14" t="s">
        <v>120</v>
      </c>
      <c r="B58" s="14" t="s">
        <v>77</v>
      </c>
      <c r="C58" s="14" t="s">
        <v>126</v>
      </c>
      <c r="D58" s="14" t="s">
        <v>88</v>
      </c>
      <c r="E58" s="15" t="n">
        <v>200</v>
      </c>
      <c r="F58" s="16" t="s">
        <v>35</v>
      </c>
      <c r="G58" s="16" t="s">
        <v>36</v>
      </c>
      <c r="H58" s="17" t="s">
        <v>37</v>
      </c>
      <c r="I58" s="14" t="s">
        <v>120</v>
      </c>
    </row>
    <row r="59" customFormat="false" ht="15" hidden="false" customHeight="false" outlineLevel="0" collapsed="false">
      <c r="A59" s="14" t="s">
        <v>120</v>
      </c>
      <c r="B59" s="14" t="s">
        <v>51</v>
      </c>
      <c r="C59" s="14" t="s">
        <v>127</v>
      </c>
      <c r="D59" s="14" t="s">
        <v>34</v>
      </c>
      <c r="E59" s="15" t="n">
        <v>1750</v>
      </c>
      <c r="F59" s="16" t="s">
        <v>35</v>
      </c>
      <c r="G59" s="16" t="s">
        <v>36</v>
      </c>
      <c r="H59" s="17" t="s">
        <v>37</v>
      </c>
      <c r="I59" s="14" t="s">
        <v>120</v>
      </c>
    </row>
    <row r="60" customFormat="false" ht="15" hidden="false" customHeight="false" outlineLevel="0" collapsed="false">
      <c r="A60" s="14" t="s">
        <v>128</v>
      </c>
      <c r="B60" s="14" t="s">
        <v>51</v>
      </c>
      <c r="C60" s="14" t="s">
        <v>129</v>
      </c>
      <c r="D60" s="14" t="s">
        <v>53</v>
      </c>
      <c r="E60" s="15" t="n">
        <v>205.75</v>
      </c>
      <c r="F60" s="16" t="s">
        <v>54</v>
      </c>
      <c r="G60" s="16" t="s">
        <v>36</v>
      </c>
      <c r="H60" s="17" t="s">
        <v>37</v>
      </c>
      <c r="I60" s="14" t="s">
        <v>128</v>
      </c>
    </row>
    <row r="61" customFormat="false" ht="15" hidden="false" customHeight="false" outlineLevel="0" collapsed="false">
      <c r="A61" s="14" t="s">
        <v>130</v>
      </c>
      <c r="B61" s="14" t="s">
        <v>51</v>
      </c>
      <c r="C61" s="14" t="s">
        <v>131</v>
      </c>
      <c r="D61" s="14" t="s">
        <v>53</v>
      </c>
      <c r="E61" s="15" t="n">
        <v>87.02</v>
      </c>
      <c r="F61" s="16" t="s">
        <v>54</v>
      </c>
      <c r="G61" s="16" t="s">
        <v>36</v>
      </c>
      <c r="H61" s="17" t="s">
        <v>37</v>
      </c>
      <c r="I61" s="14" t="s">
        <v>130</v>
      </c>
    </row>
    <row r="62" customFormat="false" ht="15" hidden="false" customHeight="false" outlineLevel="0" collapsed="false">
      <c r="A62" s="14" t="s">
        <v>132</v>
      </c>
      <c r="B62" s="14" t="s">
        <v>123</v>
      </c>
      <c r="C62" s="14" t="s">
        <v>133</v>
      </c>
      <c r="D62" s="14" t="s">
        <v>125</v>
      </c>
      <c r="E62" s="15" t="n">
        <v>50</v>
      </c>
      <c r="F62" s="16" t="s">
        <v>35</v>
      </c>
      <c r="G62" s="16" t="s">
        <v>36</v>
      </c>
      <c r="H62" s="17" t="s">
        <v>37</v>
      </c>
      <c r="I62" s="14" t="s">
        <v>132</v>
      </c>
    </row>
    <row r="63" customFormat="false" ht="15" hidden="false" customHeight="false" outlineLevel="0" collapsed="false">
      <c r="A63" s="14" t="s">
        <v>132</v>
      </c>
      <c r="B63" s="14" t="s">
        <v>106</v>
      </c>
      <c r="C63" s="14" t="s">
        <v>134</v>
      </c>
      <c r="D63" s="14" t="s">
        <v>111</v>
      </c>
      <c r="E63" s="15" t="n">
        <v>500</v>
      </c>
      <c r="F63" s="16" t="s">
        <v>35</v>
      </c>
      <c r="G63" s="16" t="s">
        <v>36</v>
      </c>
      <c r="H63" s="17" t="s">
        <v>37</v>
      </c>
      <c r="I63" s="14" t="s">
        <v>132</v>
      </c>
    </row>
    <row r="64" customFormat="false" ht="15" hidden="false" customHeight="false" outlineLevel="0" collapsed="false">
      <c r="A64" s="14" t="s">
        <v>132</v>
      </c>
      <c r="B64" s="14" t="s">
        <v>104</v>
      </c>
      <c r="C64" s="14" t="s">
        <v>135</v>
      </c>
      <c r="D64" s="14" t="s">
        <v>34</v>
      </c>
      <c r="E64" s="15" t="n">
        <v>2875</v>
      </c>
      <c r="F64" s="16" t="s">
        <v>35</v>
      </c>
      <c r="G64" s="16" t="s">
        <v>36</v>
      </c>
      <c r="H64" s="17" t="s">
        <v>37</v>
      </c>
      <c r="I64" s="14" t="s">
        <v>132</v>
      </c>
    </row>
    <row r="65" customFormat="false" ht="15" hidden="false" customHeight="false" outlineLevel="0" collapsed="false">
      <c r="A65" s="14" t="s">
        <v>132</v>
      </c>
      <c r="B65" s="14" t="s">
        <v>43</v>
      </c>
      <c r="C65" s="14" t="s">
        <v>136</v>
      </c>
      <c r="D65" s="14" t="s">
        <v>81</v>
      </c>
      <c r="E65" s="15" t="n">
        <v>400</v>
      </c>
      <c r="F65" s="16" t="s">
        <v>35</v>
      </c>
      <c r="G65" s="16" t="s">
        <v>36</v>
      </c>
      <c r="H65" s="17" t="s">
        <v>37</v>
      </c>
      <c r="I65" s="14" t="s">
        <v>132</v>
      </c>
    </row>
    <row r="66" customFormat="false" ht="15" hidden="false" customHeight="false" outlineLevel="0" collapsed="false">
      <c r="A66" s="14" t="s">
        <v>132</v>
      </c>
      <c r="B66" s="14" t="s">
        <v>38</v>
      </c>
      <c r="C66" s="14" t="s">
        <v>137</v>
      </c>
      <c r="D66" s="14" t="s">
        <v>40</v>
      </c>
      <c r="E66" s="15" t="n">
        <v>480</v>
      </c>
      <c r="F66" s="16" t="s">
        <v>35</v>
      </c>
      <c r="G66" s="16" t="s">
        <v>36</v>
      </c>
      <c r="H66" s="17" t="s">
        <v>37</v>
      </c>
      <c r="I66" s="14" t="s">
        <v>132</v>
      </c>
    </row>
    <row r="67" customFormat="false" ht="15" hidden="false" customHeight="false" outlineLevel="0" collapsed="false">
      <c r="A67" s="14" t="s">
        <v>132</v>
      </c>
      <c r="B67" s="14" t="s">
        <v>38</v>
      </c>
      <c r="C67" s="14" t="s">
        <v>55</v>
      </c>
      <c r="D67" s="14" t="s">
        <v>42</v>
      </c>
      <c r="E67" s="15" t="n">
        <v>800</v>
      </c>
      <c r="F67" s="16" t="s">
        <v>35</v>
      </c>
      <c r="G67" s="16" t="s">
        <v>36</v>
      </c>
      <c r="H67" s="17" t="s">
        <v>37</v>
      </c>
      <c r="I67" s="14" t="s">
        <v>132</v>
      </c>
    </row>
    <row r="68" customFormat="false" ht="22.35" hidden="false" customHeight="false" outlineLevel="0" collapsed="false">
      <c r="A68" s="14" t="s">
        <v>138</v>
      </c>
      <c r="B68" s="14" t="s">
        <v>123</v>
      </c>
      <c r="C68" s="14" t="s">
        <v>139</v>
      </c>
      <c r="D68" s="14" t="s">
        <v>140</v>
      </c>
      <c r="E68" s="15" t="n">
        <v>1150</v>
      </c>
      <c r="F68" s="16" t="s">
        <v>54</v>
      </c>
      <c r="G68" s="16" t="s">
        <v>36</v>
      </c>
      <c r="H68" s="17" t="s">
        <v>37</v>
      </c>
      <c r="I68" s="14" t="s">
        <v>138</v>
      </c>
    </row>
    <row r="69" customFormat="false" ht="15" hidden="false" customHeight="false" outlineLevel="0" collapsed="false">
      <c r="A69" s="14" t="s">
        <v>138</v>
      </c>
      <c r="B69" s="14" t="s">
        <v>38</v>
      </c>
      <c r="C69" s="14" t="s">
        <v>141</v>
      </c>
      <c r="D69" s="14" t="s">
        <v>42</v>
      </c>
      <c r="E69" s="15" t="n">
        <v>900</v>
      </c>
      <c r="F69" s="16" t="s">
        <v>35</v>
      </c>
      <c r="G69" s="16" t="s">
        <v>36</v>
      </c>
      <c r="H69" s="17" t="s">
        <v>37</v>
      </c>
      <c r="I69" s="14" t="s">
        <v>138</v>
      </c>
    </row>
    <row r="70" customFormat="false" ht="15" hidden="false" customHeight="false" outlineLevel="0" collapsed="false">
      <c r="A70" s="14" t="s">
        <v>138</v>
      </c>
      <c r="B70" s="14" t="s">
        <v>38</v>
      </c>
      <c r="C70" s="14" t="s">
        <v>142</v>
      </c>
      <c r="D70" s="14" t="s">
        <v>40</v>
      </c>
      <c r="E70" s="15" t="n">
        <v>320</v>
      </c>
      <c r="F70" s="16" t="s">
        <v>35</v>
      </c>
      <c r="G70" s="16" t="s">
        <v>36</v>
      </c>
      <c r="H70" s="17" t="s">
        <v>37</v>
      </c>
      <c r="I70" s="14" t="s">
        <v>138</v>
      </c>
    </row>
    <row r="71" customFormat="false" ht="15" hidden="false" customHeight="false" outlineLevel="0" collapsed="false">
      <c r="A71" s="14" t="s">
        <v>138</v>
      </c>
      <c r="B71" s="14" t="s">
        <v>38</v>
      </c>
      <c r="C71" s="14" t="s">
        <v>143</v>
      </c>
      <c r="D71" s="14" t="s">
        <v>144</v>
      </c>
      <c r="E71" s="15" t="n">
        <v>400</v>
      </c>
      <c r="F71" s="16" t="s">
        <v>35</v>
      </c>
      <c r="G71" s="16" t="s">
        <v>36</v>
      </c>
      <c r="H71" s="17" t="s">
        <v>37</v>
      </c>
      <c r="I71" s="14" t="s">
        <v>138</v>
      </c>
    </row>
    <row r="72" customFormat="false" ht="15" hidden="false" customHeight="false" outlineLevel="0" collapsed="false">
      <c r="A72" s="14" t="s">
        <v>138</v>
      </c>
      <c r="B72" s="14" t="s">
        <v>32</v>
      </c>
      <c r="C72" s="14" t="s">
        <v>145</v>
      </c>
      <c r="D72" s="14" t="s">
        <v>34</v>
      </c>
      <c r="E72" s="15" t="n">
        <v>360</v>
      </c>
      <c r="F72" s="16" t="s">
        <v>35</v>
      </c>
      <c r="G72" s="16" t="s">
        <v>36</v>
      </c>
      <c r="H72" s="17" t="s">
        <v>37</v>
      </c>
      <c r="I72" s="14" t="s">
        <v>138</v>
      </c>
    </row>
    <row r="73" customFormat="false" ht="15" hidden="false" customHeight="false" outlineLevel="0" collapsed="false">
      <c r="A73" s="14" t="s">
        <v>138</v>
      </c>
      <c r="B73" s="14" t="s">
        <v>51</v>
      </c>
      <c r="C73" s="14" t="s">
        <v>146</v>
      </c>
      <c r="D73" s="14" t="s">
        <v>34</v>
      </c>
      <c r="E73" s="15" t="n">
        <v>100</v>
      </c>
      <c r="F73" s="16" t="s">
        <v>35</v>
      </c>
      <c r="G73" s="16" t="s">
        <v>36</v>
      </c>
      <c r="H73" s="17" t="s">
        <v>37</v>
      </c>
      <c r="I73" s="14" t="s">
        <v>138</v>
      </c>
    </row>
    <row r="74" customFormat="false" ht="15" hidden="false" customHeight="false" outlineLevel="0" collapsed="false">
      <c r="A74" s="14" t="s">
        <v>147</v>
      </c>
      <c r="B74" s="14" t="s">
        <v>51</v>
      </c>
      <c r="C74" s="14" t="s">
        <v>148</v>
      </c>
      <c r="D74" s="14" t="s">
        <v>34</v>
      </c>
      <c r="E74" s="15" t="n">
        <v>2330</v>
      </c>
      <c r="F74" s="16" t="s">
        <v>35</v>
      </c>
      <c r="G74" s="16" t="s">
        <v>36</v>
      </c>
      <c r="H74" s="17" t="s">
        <v>37</v>
      </c>
      <c r="I74" s="14" t="s">
        <v>147</v>
      </c>
    </row>
    <row r="75" customFormat="false" ht="15" hidden="false" customHeight="false" outlineLevel="0" collapsed="false">
      <c r="A75" s="14" t="s">
        <v>147</v>
      </c>
      <c r="B75" s="14" t="s">
        <v>77</v>
      </c>
      <c r="C75" s="14" t="s">
        <v>149</v>
      </c>
      <c r="D75" s="14" t="s">
        <v>150</v>
      </c>
      <c r="E75" s="15" t="n">
        <v>200</v>
      </c>
      <c r="F75" s="16" t="s">
        <v>151</v>
      </c>
      <c r="G75" s="16" t="s">
        <v>36</v>
      </c>
      <c r="H75" s="17" t="s">
        <v>37</v>
      </c>
      <c r="I75" s="14" t="s">
        <v>147</v>
      </c>
    </row>
    <row r="76" customFormat="false" ht="15" hidden="false" customHeight="false" outlineLevel="0" collapsed="false">
      <c r="A76" s="14" t="s">
        <v>152</v>
      </c>
      <c r="B76" s="14" t="s">
        <v>77</v>
      </c>
      <c r="C76" s="14" t="s">
        <v>153</v>
      </c>
      <c r="D76" s="14" t="s">
        <v>154</v>
      </c>
      <c r="E76" s="15" t="n">
        <v>711</v>
      </c>
      <c r="F76" s="16" t="s">
        <v>54</v>
      </c>
      <c r="G76" s="16" t="s">
        <v>36</v>
      </c>
      <c r="H76" s="17" t="s">
        <v>37</v>
      </c>
      <c r="I76" s="14" t="s">
        <v>152</v>
      </c>
    </row>
    <row r="77" customFormat="false" ht="15" hidden="false" customHeight="false" outlineLevel="0" collapsed="false">
      <c r="A77" s="14" t="s">
        <v>155</v>
      </c>
      <c r="B77" s="14" t="s">
        <v>77</v>
      </c>
      <c r="C77" s="14" t="s">
        <v>156</v>
      </c>
      <c r="D77" s="14" t="s">
        <v>157</v>
      </c>
      <c r="E77" s="15" t="n">
        <v>100</v>
      </c>
      <c r="F77" s="16" t="s">
        <v>151</v>
      </c>
      <c r="G77" s="16" t="s">
        <v>36</v>
      </c>
      <c r="H77" s="17" t="s">
        <v>37</v>
      </c>
      <c r="I77" s="14" t="s">
        <v>155</v>
      </c>
    </row>
    <row r="78" customFormat="false" ht="15" hidden="false" customHeight="false" outlineLevel="0" collapsed="false">
      <c r="A78" s="14" t="s">
        <v>158</v>
      </c>
      <c r="B78" s="14" t="s">
        <v>38</v>
      </c>
      <c r="C78" s="14" t="s">
        <v>159</v>
      </c>
      <c r="D78" s="14" t="s">
        <v>160</v>
      </c>
      <c r="E78" s="15" t="n">
        <v>50</v>
      </c>
      <c r="F78" s="16" t="s">
        <v>35</v>
      </c>
      <c r="G78" s="16" t="s">
        <v>36</v>
      </c>
      <c r="H78" s="17" t="s">
        <v>37</v>
      </c>
      <c r="I78" s="14" t="s">
        <v>158</v>
      </c>
    </row>
    <row r="79" customFormat="false" ht="15" hidden="false" customHeight="false" outlineLevel="0" collapsed="false">
      <c r="A79" s="14" t="s">
        <v>161</v>
      </c>
      <c r="B79" s="14" t="s">
        <v>82</v>
      </c>
      <c r="C79" s="14" t="s">
        <v>162</v>
      </c>
      <c r="D79" s="14" t="s">
        <v>163</v>
      </c>
      <c r="E79" s="15" t="n">
        <v>600</v>
      </c>
      <c r="F79" s="16" t="s">
        <v>35</v>
      </c>
      <c r="G79" s="16" t="s">
        <v>36</v>
      </c>
      <c r="H79" s="17" t="s">
        <v>37</v>
      </c>
      <c r="I79" s="14" t="s">
        <v>161</v>
      </c>
    </row>
    <row r="80" customFormat="false" ht="15" hidden="false" customHeight="false" outlineLevel="0" collapsed="false">
      <c r="A80" s="14" t="s">
        <v>161</v>
      </c>
      <c r="B80" s="14" t="s">
        <v>106</v>
      </c>
      <c r="C80" s="14" t="s">
        <v>164</v>
      </c>
      <c r="D80" s="14" t="s">
        <v>111</v>
      </c>
      <c r="E80" s="15" t="n">
        <v>1000</v>
      </c>
      <c r="F80" s="16" t="s">
        <v>35</v>
      </c>
      <c r="G80" s="16" t="s">
        <v>36</v>
      </c>
      <c r="H80" s="17" t="s">
        <v>37</v>
      </c>
      <c r="I80" s="14" t="s">
        <v>161</v>
      </c>
    </row>
    <row r="81" customFormat="false" ht="15" hidden="false" customHeight="false" outlineLevel="0" collapsed="false">
      <c r="A81" s="14" t="s">
        <v>161</v>
      </c>
      <c r="B81" s="14" t="s">
        <v>43</v>
      </c>
      <c r="C81" s="14" t="s">
        <v>165</v>
      </c>
      <c r="D81" s="14" t="s">
        <v>81</v>
      </c>
      <c r="E81" s="15" t="n">
        <v>1000</v>
      </c>
      <c r="F81" s="16" t="s">
        <v>35</v>
      </c>
      <c r="G81" s="16" t="s">
        <v>36</v>
      </c>
      <c r="H81" s="17" t="s">
        <v>37</v>
      </c>
      <c r="I81" s="14" t="s">
        <v>161</v>
      </c>
    </row>
    <row r="82" customFormat="false" ht="15" hidden="false" customHeight="false" outlineLevel="0" collapsed="false">
      <c r="A82" s="14" t="s">
        <v>161</v>
      </c>
      <c r="B82" s="14" t="s">
        <v>106</v>
      </c>
      <c r="C82" s="14" t="s">
        <v>166</v>
      </c>
      <c r="D82" s="14" t="s">
        <v>111</v>
      </c>
      <c r="E82" s="15" t="n">
        <v>300</v>
      </c>
      <c r="F82" s="16" t="s">
        <v>35</v>
      </c>
      <c r="G82" s="16" t="s">
        <v>36</v>
      </c>
      <c r="H82" s="17" t="s">
        <v>37</v>
      </c>
      <c r="I82" s="14" t="s">
        <v>161</v>
      </c>
    </row>
    <row r="83" customFormat="false" ht="15" hidden="false" customHeight="false" outlineLevel="0" collapsed="false">
      <c r="A83" s="14" t="s">
        <v>167</v>
      </c>
      <c r="B83" s="14" t="s">
        <v>38</v>
      </c>
      <c r="C83" s="14" t="s">
        <v>168</v>
      </c>
      <c r="D83" s="14" t="s">
        <v>42</v>
      </c>
      <c r="E83" s="15" t="n">
        <v>1500</v>
      </c>
      <c r="F83" s="16" t="s">
        <v>35</v>
      </c>
      <c r="G83" s="16" t="s">
        <v>36</v>
      </c>
      <c r="H83" s="17" t="s">
        <v>37</v>
      </c>
      <c r="I83" s="14" t="s">
        <v>167</v>
      </c>
    </row>
    <row r="84" customFormat="false" ht="15" hidden="false" customHeight="false" outlineLevel="0" collapsed="false">
      <c r="A84" s="14" t="s">
        <v>167</v>
      </c>
      <c r="B84" s="14" t="s">
        <v>51</v>
      </c>
      <c r="C84" s="14" t="s">
        <v>169</v>
      </c>
      <c r="D84" s="14" t="s">
        <v>45</v>
      </c>
      <c r="E84" s="15" t="n">
        <v>400</v>
      </c>
      <c r="F84" s="16" t="s">
        <v>35</v>
      </c>
      <c r="G84" s="16" t="s">
        <v>36</v>
      </c>
      <c r="H84" s="17" t="s">
        <v>37</v>
      </c>
      <c r="I84" s="14" t="s">
        <v>167</v>
      </c>
    </row>
    <row r="85" customFormat="false" ht="15" hidden="false" customHeight="false" outlineLevel="0" collapsed="false">
      <c r="A85" s="14" t="s">
        <v>170</v>
      </c>
      <c r="B85" s="14" t="s">
        <v>38</v>
      </c>
      <c r="C85" s="14" t="s">
        <v>171</v>
      </c>
      <c r="D85" s="14" t="s">
        <v>172</v>
      </c>
      <c r="E85" s="15" t="n">
        <v>1780</v>
      </c>
      <c r="F85" s="16" t="s">
        <v>35</v>
      </c>
      <c r="G85" s="16" t="s">
        <v>36</v>
      </c>
      <c r="H85" s="17" t="s">
        <v>37</v>
      </c>
      <c r="I85" s="14" t="s">
        <v>170</v>
      </c>
    </row>
    <row r="86" customFormat="false" ht="15" hidden="false" customHeight="false" outlineLevel="0" collapsed="false">
      <c r="A86" s="14" t="s">
        <v>170</v>
      </c>
      <c r="B86" s="14" t="s">
        <v>51</v>
      </c>
      <c r="C86" s="14" t="s">
        <v>173</v>
      </c>
      <c r="D86" s="14" t="s">
        <v>45</v>
      </c>
      <c r="E86" s="15" t="n">
        <v>650</v>
      </c>
      <c r="F86" s="16" t="s">
        <v>35</v>
      </c>
      <c r="G86" s="16" t="s">
        <v>36</v>
      </c>
      <c r="H86" s="17" t="s">
        <v>37</v>
      </c>
      <c r="I86" s="14" t="s">
        <v>170</v>
      </c>
    </row>
    <row r="87" customFormat="false" ht="15" hidden="false" customHeight="false" outlineLevel="0" collapsed="false">
      <c r="A87" s="14" t="s">
        <v>170</v>
      </c>
      <c r="B87" s="14" t="s">
        <v>32</v>
      </c>
      <c r="C87" s="14" t="s">
        <v>174</v>
      </c>
      <c r="D87" s="14" t="s">
        <v>34</v>
      </c>
      <c r="E87" s="15" t="n">
        <v>125</v>
      </c>
      <c r="F87" s="16" t="s">
        <v>35</v>
      </c>
      <c r="G87" s="16" t="s">
        <v>36</v>
      </c>
      <c r="H87" s="17" t="s">
        <v>37</v>
      </c>
      <c r="I87" s="14" t="s">
        <v>170</v>
      </c>
    </row>
    <row r="88" customFormat="false" ht="15" hidden="false" customHeight="false" outlineLevel="0" collapsed="false">
      <c r="A88" s="14" t="s">
        <v>170</v>
      </c>
      <c r="B88" s="14" t="s">
        <v>71</v>
      </c>
      <c r="C88" s="14" t="s">
        <v>175</v>
      </c>
      <c r="D88" s="14" t="s">
        <v>73</v>
      </c>
      <c r="E88" s="15" t="n">
        <v>50</v>
      </c>
      <c r="F88" s="16" t="s">
        <v>35</v>
      </c>
      <c r="G88" s="16" t="s">
        <v>36</v>
      </c>
      <c r="H88" s="17" t="s">
        <v>37</v>
      </c>
      <c r="I88" s="14" t="s">
        <v>170</v>
      </c>
    </row>
    <row r="89" customFormat="false" ht="15" hidden="false" customHeight="false" outlineLevel="0" collapsed="false">
      <c r="A89" s="14" t="s">
        <v>170</v>
      </c>
      <c r="B89" s="14" t="s">
        <v>66</v>
      </c>
      <c r="C89" s="14" t="s">
        <v>176</v>
      </c>
      <c r="D89" s="14" t="s">
        <v>177</v>
      </c>
      <c r="E89" s="15" t="n">
        <v>50</v>
      </c>
      <c r="F89" s="16" t="s">
        <v>35</v>
      </c>
      <c r="G89" s="16" t="s">
        <v>36</v>
      </c>
      <c r="H89" s="17" t="s">
        <v>37</v>
      </c>
      <c r="I89" s="14" t="s">
        <v>170</v>
      </c>
    </row>
    <row r="90" customFormat="false" ht="15" hidden="false" customHeight="false" outlineLevel="0" collapsed="false">
      <c r="A90" s="14" t="s">
        <v>170</v>
      </c>
      <c r="B90" s="14" t="s">
        <v>51</v>
      </c>
      <c r="C90" s="14" t="s">
        <v>178</v>
      </c>
      <c r="D90" s="14" t="s">
        <v>34</v>
      </c>
      <c r="E90" s="15" t="n">
        <v>105</v>
      </c>
      <c r="F90" s="16" t="s">
        <v>35</v>
      </c>
      <c r="G90" s="16" t="s">
        <v>36</v>
      </c>
      <c r="H90" s="17" t="s">
        <v>37</v>
      </c>
      <c r="I90" s="14" t="s">
        <v>170</v>
      </c>
    </row>
    <row r="91" customFormat="false" ht="15" hidden="false" customHeight="false" outlineLevel="0" collapsed="false">
      <c r="A91" s="14" t="s">
        <v>170</v>
      </c>
      <c r="B91" s="14" t="s">
        <v>51</v>
      </c>
      <c r="C91" s="14" t="s">
        <v>179</v>
      </c>
      <c r="D91" s="14" t="s">
        <v>34</v>
      </c>
      <c r="E91" s="15" t="n">
        <v>2000</v>
      </c>
      <c r="F91" s="16" t="s">
        <v>35</v>
      </c>
      <c r="G91" s="16" t="s">
        <v>36</v>
      </c>
      <c r="H91" s="17" t="s">
        <v>37</v>
      </c>
      <c r="I91" s="14" t="s">
        <v>170</v>
      </c>
    </row>
    <row r="92" customFormat="false" ht="15" hidden="false" customHeight="false" outlineLevel="0" collapsed="false">
      <c r="A92" s="14" t="s">
        <v>170</v>
      </c>
      <c r="B92" s="14" t="s">
        <v>106</v>
      </c>
      <c r="C92" s="14" t="s">
        <v>180</v>
      </c>
      <c r="D92" s="14" t="s">
        <v>181</v>
      </c>
      <c r="E92" s="15" t="n">
        <v>614</v>
      </c>
      <c r="F92" s="16" t="s">
        <v>182</v>
      </c>
      <c r="G92" s="16" t="s">
        <v>183</v>
      </c>
      <c r="H92" s="17" t="s">
        <v>37</v>
      </c>
      <c r="I92" s="14" t="s">
        <v>170</v>
      </c>
    </row>
    <row r="93" customFormat="false" ht="15" hidden="false" customHeight="false" outlineLevel="0" collapsed="false">
      <c r="A93" s="14" t="s">
        <v>184</v>
      </c>
      <c r="B93" s="14" t="s">
        <v>38</v>
      </c>
      <c r="C93" s="14" t="s">
        <v>185</v>
      </c>
      <c r="D93" s="14" t="s">
        <v>42</v>
      </c>
      <c r="E93" s="15" t="n">
        <v>130</v>
      </c>
      <c r="F93" s="16" t="s">
        <v>35</v>
      </c>
      <c r="G93" s="16" t="s">
        <v>36</v>
      </c>
      <c r="H93" s="17" t="s">
        <v>37</v>
      </c>
      <c r="I93" s="14" t="s">
        <v>184</v>
      </c>
    </row>
    <row r="94" customFormat="false" ht="15" hidden="false" customHeight="false" outlineLevel="0" collapsed="false">
      <c r="A94" s="14" t="s">
        <v>186</v>
      </c>
      <c r="B94" s="14" t="s">
        <v>106</v>
      </c>
      <c r="C94" s="14" t="s">
        <v>187</v>
      </c>
      <c r="D94" s="14" t="s">
        <v>188</v>
      </c>
      <c r="E94" s="15" t="n">
        <v>45</v>
      </c>
      <c r="F94" s="16" t="s">
        <v>35</v>
      </c>
      <c r="G94" s="16" t="s">
        <v>36</v>
      </c>
      <c r="H94" s="17" t="s">
        <v>37</v>
      </c>
      <c r="I94" s="14" t="s">
        <v>186</v>
      </c>
    </row>
    <row r="95" customFormat="false" ht="15" hidden="false" customHeight="false" outlineLevel="0" collapsed="false">
      <c r="A95" s="14" t="s">
        <v>186</v>
      </c>
      <c r="B95" s="14" t="s">
        <v>38</v>
      </c>
      <c r="C95" s="14" t="s">
        <v>189</v>
      </c>
      <c r="D95" s="14" t="s">
        <v>42</v>
      </c>
      <c r="E95" s="15" t="n">
        <v>400</v>
      </c>
      <c r="F95" s="16" t="s">
        <v>35</v>
      </c>
      <c r="G95" s="16" t="s">
        <v>36</v>
      </c>
      <c r="H95" s="17" t="s">
        <v>37</v>
      </c>
      <c r="I95" s="14" t="s">
        <v>186</v>
      </c>
    </row>
    <row r="96" customFormat="false" ht="15" hidden="false" customHeight="false" outlineLevel="0" collapsed="false">
      <c r="A96" s="14" t="s">
        <v>186</v>
      </c>
      <c r="B96" s="14" t="s">
        <v>38</v>
      </c>
      <c r="C96" s="14" t="s">
        <v>190</v>
      </c>
      <c r="D96" s="14" t="s">
        <v>40</v>
      </c>
      <c r="E96" s="15" t="n">
        <v>160</v>
      </c>
      <c r="F96" s="16" t="s">
        <v>35</v>
      </c>
      <c r="G96" s="16" t="s">
        <v>36</v>
      </c>
      <c r="H96" s="17" t="s">
        <v>37</v>
      </c>
      <c r="I96" s="14" t="s">
        <v>186</v>
      </c>
    </row>
    <row r="97" customFormat="false" ht="15" hidden="false" customHeight="false" outlineLevel="0" collapsed="false">
      <c r="A97" s="14" t="s">
        <v>186</v>
      </c>
      <c r="B97" s="14" t="s">
        <v>38</v>
      </c>
      <c r="C97" s="14" t="s">
        <v>191</v>
      </c>
      <c r="D97" s="14" t="s">
        <v>42</v>
      </c>
      <c r="E97" s="15" t="n">
        <v>500</v>
      </c>
      <c r="F97" s="16" t="s">
        <v>35</v>
      </c>
      <c r="G97" s="16" t="s">
        <v>36</v>
      </c>
      <c r="H97" s="17" t="s">
        <v>37</v>
      </c>
      <c r="I97" s="14" t="s">
        <v>186</v>
      </c>
    </row>
    <row r="98" customFormat="false" ht="15" hidden="false" customHeight="false" outlineLevel="0" collapsed="false">
      <c r="A98" s="14" t="s">
        <v>186</v>
      </c>
      <c r="B98" s="14" t="s">
        <v>38</v>
      </c>
      <c r="C98" s="14" t="s">
        <v>192</v>
      </c>
      <c r="D98" s="14" t="s">
        <v>40</v>
      </c>
      <c r="E98" s="15" t="n">
        <v>160</v>
      </c>
      <c r="F98" s="16" t="s">
        <v>35</v>
      </c>
      <c r="G98" s="16" t="s">
        <v>36</v>
      </c>
      <c r="H98" s="17" t="s">
        <v>37</v>
      </c>
      <c r="I98" s="14" t="s">
        <v>186</v>
      </c>
    </row>
    <row r="99" customFormat="false" ht="15" hidden="false" customHeight="false" outlineLevel="0" collapsed="false">
      <c r="A99" s="14" t="s">
        <v>186</v>
      </c>
      <c r="B99" s="14" t="s">
        <v>38</v>
      </c>
      <c r="C99" s="14" t="s">
        <v>193</v>
      </c>
      <c r="D99" s="14" t="s">
        <v>42</v>
      </c>
      <c r="E99" s="15" t="n">
        <v>600</v>
      </c>
      <c r="F99" s="16" t="s">
        <v>35</v>
      </c>
      <c r="G99" s="16" t="s">
        <v>36</v>
      </c>
      <c r="H99" s="17" t="s">
        <v>37</v>
      </c>
      <c r="I99" s="14" t="s">
        <v>186</v>
      </c>
    </row>
    <row r="100" customFormat="false" ht="15" hidden="false" customHeight="false" outlineLevel="0" collapsed="false">
      <c r="A100" s="14" t="s">
        <v>186</v>
      </c>
      <c r="B100" s="14" t="s">
        <v>38</v>
      </c>
      <c r="C100" s="14" t="s">
        <v>194</v>
      </c>
      <c r="D100" s="14" t="s">
        <v>40</v>
      </c>
      <c r="E100" s="15" t="n">
        <v>160</v>
      </c>
      <c r="F100" s="16" t="s">
        <v>35</v>
      </c>
      <c r="G100" s="16" t="s">
        <v>36</v>
      </c>
      <c r="H100" s="17" t="s">
        <v>37</v>
      </c>
      <c r="I100" s="14" t="s">
        <v>186</v>
      </c>
    </row>
    <row r="101" customFormat="false" ht="15" hidden="false" customHeight="false" outlineLevel="0" collapsed="false">
      <c r="A101" s="14" t="s">
        <v>186</v>
      </c>
      <c r="B101" s="14" t="s">
        <v>38</v>
      </c>
      <c r="C101" s="14" t="s">
        <v>195</v>
      </c>
      <c r="D101" s="14" t="s">
        <v>196</v>
      </c>
      <c r="E101" s="15" t="n">
        <v>300</v>
      </c>
      <c r="F101" s="16" t="s">
        <v>35</v>
      </c>
      <c r="G101" s="16" t="s">
        <v>36</v>
      </c>
      <c r="H101" s="17" t="s">
        <v>37</v>
      </c>
      <c r="I101" s="14" t="s">
        <v>186</v>
      </c>
    </row>
    <row r="102" customFormat="false" ht="15" hidden="false" customHeight="false" outlineLevel="0" collapsed="false">
      <c r="A102" s="14" t="s">
        <v>186</v>
      </c>
      <c r="B102" s="14" t="s">
        <v>38</v>
      </c>
      <c r="C102" s="14" t="s">
        <v>197</v>
      </c>
      <c r="D102" s="14" t="s">
        <v>196</v>
      </c>
      <c r="E102" s="15" t="n">
        <v>300</v>
      </c>
      <c r="F102" s="16" t="s">
        <v>35</v>
      </c>
      <c r="G102" s="16" t="s">
        <v>36</v>
      </c>
      <c r="H102" s="17" t="s">
        <v>37</v>
      </c>
      <c r="I102" s="14" t="s">
        <v>186</v>
      </c>
    </row>
    <row r="103" customFormat="false" ht="15" hidden="false" customHeight="false" outlineLevel="0" collapsed="false">
      <c r="A103" s="14" t="s">
        <v>186</v>
      </c>
      <c r="B103" s="14" t="s">
        <v>71</v>
      </c>
      <c r="C103" s="14" t="s">
        <v>198</v>
      </c>
      <c r="D103" s="14" t="s">
        <v>73</v>
      </c>
      <c r="E103" s="15" t="n">
        <v>40</v>
      </c>
      <c r="F103" s="16" t="s">
        <v>35</v>
      </c>
      <c r="G103" s="16" t="s">
        <v>36</v>
      </c>
      <c r="H103" s="17" t="s">
        <v>37</v>
      </c>
      <c r="I103" s="14" t="s">
        <v>186</v>
      </c>
    </row>
    <row r="104" customFormat="false" ht="15" hidden="false" customHeight="false" outlineLevel="0" collapsed="false">
      <c r="A104" s="14" t="s">
        <v>186</v>
      </c>
      <c r="B104" s="14" t="s">
        <v>51</v>
      </c>
      <c r="C104" s="14" t="s">
        <v>199</v>
      </c>
      <c r="D104" s="14" t="s">
        <v>34</v>
      </c>
      <c r="E104" s="15" t="n">
        <v>450</v>
      </c>
      <c r="F104" s="16" t="s">
        <v>35</v>
      </c>
      <c r="G104" s="16" t="s">
        <v>36</v>
      </c>
      <c r="H104" s="17" t="s">
        <v>37</v>
      </c>
      <c r="I104" s="14" t="s">
        <v>186</v>
      </c>
    </row>
    <row r="105" customFormat="false" ht="15" hidden="false" customHeight="false" outlineLevel="0" collapsed="false">
      <c r="A105" s="14" t="s">
        <v>186</v>
      </c>
      <c r="B105" s="14" t="s">
        <v>43</v>
      </c>
      <c r="C105" s="14" t="s">
        <v>200</v>
      </c>
      <c r="D105" s="14" t="s">
        <v>45</v>
      </c>
      <c r="E105" s="15" t="n">
        <v>75</v>
      </c>
      <c r="F105" s="16" t="s">
        <v>35</v>
      </c>
      <c r="G105" s="16" t="s">
        <v>36</v>
      </c>
      <c r="H105" s="17" t="s">
        <v>37</v>
      </c>
      <c r="I105" s="14" t="s">
        <v>186</v>
      </c>
    </row>
    <row r="106" customFormat="false" ht="15" hidden="false" customHeight="false" outlineLevel="0" collapsed="false">
      <c r="A106" s="14" t="s">
        <v>186</v>
      </c>
      <c r="B106" s="14" t="s">
        <v>51</v>
      </c>
      <c r="C106" s="14" t="s">
        <v>201</v>
      </c>
      <c r="D106" s="14" t="s">
        <v>45</v>
      </c>
      <c r="E106" s="15" t="n">
        <v>75</v>
      </c>
      <c r="F106" s="16" t="s">
        <v>35</v>
      </c>
      <c r="G106" s="16" t="s">
        <v>36</v>
      </c>
      <c r="H106" s="17" t="s">
        <v>37</v>
      </c>
      <c r="I106" s="14" t="s">
        <v>186</v>
      </c>
    </row>
    <row r="107" customFormat="false" ht="15" hidden="false" customHeight="false" outlineLevel="0" collapsed="false">
      <c r="A107" s="14" t="s">
        <v>186</v>
      </c>
      <c r="B107" s="14" t="s">
        <v>51</v>
      </c>
      <c r="C107" s="14" t="s">
        <v>202</v>
      </c>
      <c r="D107" s="14" t="s">
        <v>45</v>
      </c>
      <c r="E107" s="15" t="n">
        <v>80</v>
      </c>
      <c r="F107" s="16" t="s">
        <v>35</v>
      </c>
      <c r="G107" s="16" t="s">
        <v>36</v>
      </c>
      <c r="H107" s="17" t="s">
        <v>37</v>
      </c>
      <c r="I107" s="14" t="s">
        <v>186</v>
      </c>
    </row>
    <row r="108" customFormat="false" ht="15" hidden="false" customHeight="false" outlineLevel="0" collapsed="false">
      <c r="A108" s="14" t="s">
        <v>203</v>
      </c>
      <c r="B108" s="14" t="s">
        <v>51</v>
      </c>
      <c r="C108" s="14" t="s">
        <v>204</v>
      </c>
      <c r="D108" s="14" t="s">
        <v>34</v>
      </c>
      <c r="E108" s="15" t="n">
        <v>2000</v>
      </c>
      <c r="F108" s="16" t="s">
        <v>35</v>
      </c>
      <c r="G108" s="16" t="s">
        <v>36</v>
      </c>
      <c r="H108" s="17" t="s">
        <v>37</v>
      </c>
      <c r="I108" s="14" t="s">
        <v>203</v>
      </c>
    </row>
    <row r="109" customFormat="false" ht="22.35" hidden="false" customHeight="false" outlineLevel="0" collapsed="false">
      <c r="A109" s="14" t="s">
        <v>205</v>
      </c>
      <c r="B109" s="14" t="s">
        <v>51</v>
      </c>
      <c r="C109" s="14" t="s">
        <v>206</v>
      </c>
      <c r="D109" s="14" t="s">
        <v>207</v>
      </c>
      <c r="E109" s="15" t="n">
        <v>972.55</v>
      </c>
      <c r="F109" s="16" t="s">
        <v>208</v>
      </c>
      <c r="G109" s="16" t="s">
        <v>183</v>
      </c>
      <c r="H109" s="17" t="s">
        <v>37</v>
      </c>
      <c r="I109" s="14" t="s">
        <v>205</v>
      </c>
    </row>
    <row r="110" customFormat="false" ht="22.35" hidden="false" customHeight="false" outlineLevel="0" collapsed="false">
      <c r="A110" s="14" t="s">
        <v>209</v>
      </c>
      <c r="B110" s="14" t="s">
        <v>46</v>
      </c>
      <c r="C110" s="14" t="s">
        <v>210</v>
      </c>
      <c r="D110" s="14" t="s">
        <v>211</v>
      </c>
      <c r="E110" s="15" t="n">
        <v>380.6</v>
      </c>
      <c r="F110" s="16" t="s">
        <v>54</v>
      </c>
      <c r="G110" s="16" t="s">
        <v>36</v>
      </c>
      <c r="H110" s="17" t="s">
        <v>37</v>
      </c>
      <c r="I110" s="14" t="s">
        <v>209</v>
      </c>
    </row>
    <row r="111" customFormat="false" ht="15" hidden="false" customHeight="false" outlineLevel="0" collapsed="false">
      <c r="A111" s="14" t="s">
        <v>212</v>
      </c>
      <c r="B111" s="14" t="s">
        <v>213</v>
      </c>
      <c r="C111" s="14" t="s">
        <v>214</v>
      </c>
      <c r="D111" s="14" t="s">
        <v>215</v>
      </c>
      <c r="E111" s="15" t="n">
        <v>286</v>
      </c>
      <c r="F111" s="16" t="s">
        <v>182</v>
      </c>
      <c r="G111" s="16" t="s">
        <v>183</v>
      </c>
      <c r="H111" s="17" t="s">
        <v>37</v>
      </c>
      <c r="I111" s="14" t="s">
        <v>212</v>
      </c>
    </row>
    <row r="112" customFormat="false" ht="15" hidden="false" customHeight="false" outlineLevel="0" collapsed="false">
      <c r="A112" s="14" t="s">
        <v>216</v>
      </c>
      <c r="B112" s="14" t="s">
        <v>38</v>
      </c>
      <c r="C112" s="14" t="s">
        <v>217</v>
      </c>
      <c r="D112" s="14" t="s">
        <v>172</v>
      </c>
      <c r="E112" s="15" t="n">
        <v>2280</v>
      </c>
      <c r="F112" s="16" t="s">
        <v>35</v>
      </c>
      <c r="G112" s="16" t="s">
        <v>36</v>
      </c>
      <c r="H112" s="17" t="s">
        <v>37</v>
      </c>
      <c r="I112" s="14" t="s">
        <v>216</v>
      </c>
    </row>
    <row r="113" customFormat="false" ht="15" hidden="false" customHeight="false" outlineLevel="0" collapsed="false">
      <c r="A113" s="14" t="s">
        <v>216</v>
      </c>
      <c r="B113" s="14" t="s">
        <v>51</v>
      </c>
      <c r="C113" s="14" t="s">
        <v>218</v>
      </c>
      <c r="D113" s="14" t="s">
        <v>34</v>
      </c>
      <c r="E113" s="15" t="n">
        <v>1175</v>
      </c>
      <c r="F113" s="16" t="s">
        <v>35</v>
      </c>
      <c r="G113" s="16" t="s">
        <v>36</v>
      </c>
      <c r="H113" s="17" t="s">
        <v>37</v>
      </c>
      <c r="I113" s="14" t="s">
        <v>216</v>
      </c>
    </row>
    <row r="114" customFormat="false" ht="15" hidden="false" customHeight="false" outlineLevel="0" collapsed="false">
      <c r="A114" s="14" t="s">
        <v>216</v>
      </c>
      <c r="B114" s="14" t="s">
        <v>219</v>
      </c>
      <c r="C114" s="14" t="s">
        <v>220</v>
      </c>
      <c r="D114" s="14" t="s">
        <v>45</v>
      </c>
      <c r="E114" s="15" t="n">
        <v>350</v>
      </c>
      <c r="F114" s="16" t="s">
        <v>35</v>
      </c>
      <c r="G114" s="16" t="s">
        <v>36</v>
      </c>
      <c r="H114" s="17" t="s">
        <v>37</v>
      </c>
      <c r="I114" s="14" t="s">
        <v>216</v>
      </c>
    </row>
    <row r="115" customFormat="false" ht="15" hidden="false" customHeight="false" outlineLevel="0" collapsed="false">
      <c r="A115" s="14" t="s">
        <v>216</v>
      </c>
      <c r="B115" s="14" t="s">
        <v>219</v>
      </c>
      <c r="C115" s="14" t="s">
        <v>221</v>
      </c>
      <c r="D115" s="14" t="s">
        <v>222</v>
      </c>
      <c r="E115" s="15" t="n">
        <v>155</v>
      </c>
      <c r="F115" s="16" t="s">
        <v>208</v>
      </c>
      <c r="G115" s="16" t="s">
        <v>183</v>
      </c>
      <c r="H115" s="17" t="s">
        <v>37</v>
      </c>
      <c r="I115" s="14" t="s">
        <v>216</v>
      </c>
    </row>
    <row r="116" customFormat="false" ht="15" hidden="false" customHeight="false" outlineLevel="0" collapsed="false">
      <c r="A116" s="14" t="s">
        <v>216</v>
      </c>
      <c r="B116" s="14" t="s">
        <v>71</v>
      </c>
      <c r="C116" s="14" t="s">
        <v>223</v>
      </c>
      <c r="D116" s="14" t="s">
        <v>73</v>
      </c>
      <c r="E116" s="15" t="n">
        <v>40</v>
      </c>
      <c r="F116" s="16" t="s">
        <v>35</v>
      </c>
      <c r="G116" s="16" t="s">
        <v>36</v>
      </c>
      <c r="H116" s="17" t="s">
        <v>37</v>
      </c>
      <c r="I116" s="14" t="s">
        <v>216</v>
      </c>
    </row>
    <row r="117" customFormat="false" ht="15" hidden="false" customHeight="false" outlineLevel="0" collapsed="false">
      <c r="A117" s="14" t="s">
        <v>209</v>
      </c>
      <c r="B117" s="14" t="s">
        <v>51</v>
      </c>
      <c r="C117" s="14" t="s">
        <v>224</v>
      </c>
      <c r="D117" s="14" t="s">
        <v>34</v>
      </c>
      <c r="E117" s="15" t="n">
        <v>1800</v>
      </c>
      <c r="F117" s="16" t="s">
        <v>35</v>
      </c>
      <c r="G117" s="16" t="s">
        <v>36</v>
      </c>
      <c r="H117" s="17" t="s">
        <v>37</v>
      </c>
      <c r="I117" s="14" t="s">
        <v>209</v>
      </c>
    </row>
    <row r="118" customFormat="false" ht="15" hidden="false" customHeight="false" outlineLevel="0" collapsed="false">
      <c r="A118" s="14" t="s">
        <v>209</v>
      </c>
      <c r="B118" s="14" t="s">
        <v>51</v>
      </c>
      <c r="C118" s="14" t="s">
        <v>225</v>
      </c>
      <c r="D118" s="14" t="s">
        <v>34</v>
      </c>
      <c r="E118" s="15" t="n">
        <v>420</v>
      </c>
      <c r="F118" s="16" t="s">
        <v>35</v>
      </c>
      <c r="G118" s="16" t="s">
        <v>36</v>
      </c>
      <c r="H118" s="17" t="s">
        <v>37</v>
      </c>
      <c r="I118" s="14" t="s">
        <v>209</v>
      </c>
    </row>
    <row r="119" customFormat="false" ht="15" hidden="false" customHeight="false" outlineLevel="0" collapsed="false">
      <c r="A119" s="14" t="s">
        <v>226</v>
      </c>
      <c r="B119" s="14" t="s">
        <v>219</v>
      </c>
      <c r="C119" s="14" t="s">
        <v>227</v>
      </c>
      <c r="D119" s="14" t="s">
        <v>228</v>
      </c>
      <c r="E119" s="15" t="n">
        <v>400</v>
      </c>
      <c r="F119" s="16" t="s">
        <v>35</v>
      </c>
      <c r="G119" s="16" t="s">
        <v>36</v>
      </c>
      <c r="H119" s="17" t="s">
        <v>37</v>
      </c>
      <c r="I119" s="14" t="s">
        <v>226</v>
      </c>
    </row>
    <row r="120" customFormat="false" ht="15" hidden="false" customHeight="false" outlineLevel="0" collapsed="false">
      <c r="A120" s="14" t="s">
        <v>229</v>
      </c>
      <c r="B120" s="14" t="s">
        <v>51</v>
      </c>
      <c r="C120" s="14" t="s">
        <v>230</v>
      </c>
      <c r="D120" s="14" t="s">
        <v>45</v>
      </c>
      <c r="E120" s="15" t="n">
        <v>150</v>
      </c>
      <c r="F120" s="16" t="s">
        <v>35</v>
      </c>
      <c r="G120" s="16" t="s">
        <v>36</v>
      </c>
      <c r="H120" s="17" t="s">
        <v>37</v>
      </c>
      <c r="I120" s="14" t="s">
        <v>229</v>
      </c>
    </row>
    <row r="121" customFormat="false" ht="15" hidden="false" customHeight="false" outlineLevel="0" collapsed="false">
      <c r="A121" s="14" t="s">
        <v>231</v>
      </c>
      <c r="B121" s="14" t="s">
        <v>51</v>
      </c>
      <c r="C121" s="14" t="s">
        <v>232</v>
      </c>
      <c r="D121" s="14" t="s">
        <v>45</v>
      </c>
      <c r="E121" s="15" t="n">
        <v>150</v>
      </c>
      <c r="F121" s="16" t="s">
        <v>35</v>
      </c>
      <c r="G121" s="16" t="s">
        <v>36</v>
      </c>
      <c r="H121" s="17" t="s">
        <v>37</v>
      </c>
      <c r="I121" s="14" t="s">
        <v>233</v>
      </c>
    </row>
    <row r="122" customFormat="false" ht="15" hidden="false" customHeight="false" outlineLevel="0" collapsed="false">
      <c r="A122" s="14" t="s">
        <v>231</v>
      </c>
      <c r="B122" s="14" t="s">
        <v>71</v>
      </c>
      <c r="C122" s="14" t="s">
        <v>234</v>
      </c>
      <c r="D122" s="14" t="s">
        <v>73</v>
      </c>
      <c r="E122" s="15" t="n">
        <v>40</v>
      </c>
      <c r="F122" s="16" t="s">
        <v>35</v>
      </c>
      <c r="G122" s="16" t="s">
        <v>36</v>
      </c>
      <c r="H122" s="17" t="s">
        <v>37</v>
      </c>
      <c r="I122" s="14" t="s">
        <v>233</v>
      </c>
    </row>
    <row r="123" customFormat="false" ht="22.35" hidden="false" customHeight="false" outlineLevel="0" collapsed="false">
      <c r="A123" s="14" t="s">
        <v>231</v>
      </c>
      <c r="B123" s="14" t="s">
        <v>51</v>
      </c>
      <c r="C123" s="14" t="s">
        <v>235</v>
      </c>
      <c r="D123" s="14" t="s">
        <v>45</v>
      </c>
      <c r="E123" s="15" t="n">
        <v>400</v>
      </c>
      <c r="F123" s="16" t="s">
        <v>35</v>
      </c>
      <c r="G123" s="16" t="s">
        <v>36</v>
      </c>
      <c r="H123" s="17" t="s">
        <v>37</v>
      </c>
      <c r="I123" s="14" t="s">
        <v>233</v>
      </c>
    </row>
    <row r="124" customFormat="false" ht="22.35" hidden="false" customHeight="false" outlineLevel="0" collapsed="false">
      <c r="A124" s="14" t="s">
        <v>231</v>
      </c>
      <c r="B124" s="14" t="s">
        <v>51</v>
      </c>
      <c r="C124" s="14" t="s">
        <v>236</v>
      </c>
      <c r="D124" s="14" t="s">
        <v>34</v>
      </c>
      <c r="E124" s="15" t="n">
        <v>1800</v>
      </c>
      <c r="F124" s="16" t="s">
        <v>35</v>
      </c>
      <c r="G124" s="16" t="s">
        <v>36</v>
      </c>
      <c r="H124" s="17" t="s">
        <v>37</v>
      </c>
      <c r="I124" s="14" t="s">
        <v>233</v>
      </c>
    </row>
    <row r="125" customFormat="false" ht="15" hidden="false" customHeight="false" outlineLevel="0" collapsed="false">
      <c r="A125" s="14" t="s">
        <v>231</v>
      </c>
      <c r="B125" s="14" t="s">
        <v>38</v>
      </c>
      <c r="C125" s="14" t="s">
        <v>237</v>
      </c>
      <c r="D125" s="14" t="s">
        <v>42</v>
      </c>
      <c r="E125" s="15" t="n">
        <v>1910</v>
      </c>
      <c r="F125" s="16" t="s">
        <v>35</v>
      </c>
      <c r="G125" s="16" t="s">
        <v>36</v>
      </c>
      <c r="H125" s="17" t="s">
        <v>37</v>
      </c>
      <c r="I125" s="14" t="s">
        <v>233</v>
      </c>
    </row>
    <row r="126" customFormat="false" ht="22.35" hidden="false" customHeight="false" outlineLevel="0" collapsed="false">
      <c r="A126" s="14" t="s">
        <v>233</v>
      </c>
      <c r="B126" s="14" t="s">
        <v>51</v>
      </c>
      <c r="C126" s="14" t="s">
        <v>238</v>
      </c>
      <c r="D126" s="14" t="s">
        <v>34</v>
      </c>
      <c r="E126" s="15" t="n">
        <v>1700</v>
      </c>
      <c r="F126" s="16" t="s">
        <v>35</v>
      </c>
      <c r="G126" s="16" t="s">
        <v>36</v>
      </c>
      <c r="H126" s="17" t="s">
        <v>37</v>
      </c>
      <c r="I126" s="14" t="s">
        <v>233</v>
      </c>
    </row>
    <row r="127" customFormat="false" ht="15" hidden="false" customHeight="false" outlineLevel="0" collapsed="false">
      <c r="A127" s="14" t="s">
        <v>239</v>
      </c>
      <c r="B127" s="14" t="s">
        <v>38</v>
      </c>
      <c r="C127" s="14" t="s">
        <v>240</v>
      </c>
      <c r="D127" s="14" t="s">
        <v>42</v>
      </c>
      <c r="E127" s="15" t="n">
        <v>2150</v>
      </c>
      <c r="F127" s="16" t="s">
        <v>35</v>
      </c>
      <c r="G127" s="16" t="s">
        <v>36</v>
      </c>
      <c r="H127" s="17" t="s">
        <v>37</v>
      </c>
      <c r="I127" s="14" t="s">
        <v>239</v>
      </c>
    </row>
    <row r="128" customFormat="false" ht="15" hidden="false" customHeight="false" outlineLevel="0" collapsed="false">
      <c r="A128" s="14" t="s">
        <v>241</v>
      </c>
      <c r="B128" s="14" t="s">
        <v>38</v>
      </c>
      <c r="C128" s="14" t="s">
        <v>242</v>
      </c>
      <c r="D128" s="14" t="s">
        <v>42</v>
      </c>
      <c r="E128" s="15" t="n">
        <v>900</v>
      </c>
      <c r="F128" s="16" t="s">
        <v>35</v>
      </c>
      <c r="G128" s="16" t="s">
        <v>36</v>
      </c>
      <c r="H128" s="17" t="s">
        <v>37</v>
      </c>
      <c r="I128" s="14" t="s">
        <v>243</v>
      </c>
    </row>
    <row r="129" customFormat="false" ht="15" hidden="false" customHeight="false" outlineLevel="0" collapsed="false">
      <c r="A129" s="14" t="s">
        <v>241</v>
      </c>
      <c r="B129" s="14" t="s">
        <v>46</v>
      </c>
      <c r="C129" s="14" t="s">
        <v>244</v>
      </c>
      <c r="D129" s="14" t="s">
        <v>245</v>
      </c>
      <c r="E129" s="15" t="n">
        <v>20</v>
      </c>
      <c r="F129" s="16" t="s">
        <v>35</v>
      </c>
      <c r="G129" s="16" t="s">
        <v>36</v>
      </c>
      <c r="H129" s="17" t="s">
        <v>37</v>
      </c>
      <c r="I129" s="14" t="s">
        <v>243</v>
      </c>
    </row>
    <row r="130" customFormat="false" ht="15" hidden="false" customHeight="false" outlineLevel="0" collapsed="false">
      <c r="A130" s="14" t="s">
        <v>241</v>
      </c>
      <c r="B130" s="14" t="s">
        <v>51</v>
      </c>
      <c r="C130" s="14" t="s">
        <v>246</v>
      </c>
      <c r="D130" s="14" t="s">
        <v>45</v>
      </c>
      <c r="E130" s="15" t="n">
        <v>65</v>
      </c>
      <c r="F130" s="16" t="s">
        <v>35</v>
      </c>
      <c r="G130" s="16" t="s">
        <v>36</v>
      </c>
      <c r="H130" s="17" t="s">
        <v>37</v>
      </c>
      <c r="I130" s="14" t="s">
        <v>243</v>
      </c>
    </row>
    <row r="131" customFormat="false" ht="22.35" hidden="false" customHeight="false" outlineLevel="0" collapsed="false">
      <c r="A131" s="14" t="s">
        <v>247</v>
      </c>
      <c r="B131" s="14" t="s">
        <v>51</v>
      </c>
      <c r="C131" s="14" t="s">
        <v>248</v>
      </c>
      <c r="D131" s="14" t="s">
        <v>34</v>
      </c>
      <c r="E131" s="15" t="n">
        <v>3000</v>
      </c>
      <c r="F131" s="16" t="s">
        <v>35</v>
      </c>
      <c r="G131" s="16" t="s">
        <v>36</v>
      </c>
      <c r="H131" s="17" t="s">
        <v>37</v>
      </c>
      <c r="I131" s="14" t="s">
        <v>247</v>
      </c>
    </row>
    <row r="132" customFormat="false" ht="22.35" hidden="false" customHeight="false" outlineLevel="0" collapsed="false">
      <c r="A132" s="14" t="s">
        <v>249</v>
      </c>
      <c r="B132" s="14" t="s">
        <v>38</v>
      </c>
      <c r="C132" s="14" t="s">
        <v>250</v>
      </c>
      <c r="D132" s="14" t="s">
        <v>251</v>
      </c>
      <c r="E132" s="15" t="n">
        <v>680</v>
      </c>
      <c r="F132" s="16" t="s">
        <v>35</v>
      </c>
      <c r="G132" s="16" t="s">
        <v>36</v>
      </c>
      <c r="H132" s="17" t="s">
        <v>37</v>
      </c>
      <c r="I132" s="14" t="s">
        <v>249</v>
      </c>
    </row>
    <row r="133" customFormat="false" ht="22.35" hidden="false" customHeight="false" outlineLevel="0" collapsed="false">
      <c r="A133" s="14" t="s">
        <v>252</v>
      </c>
      <c r="B133" s="14" t="s">
        <v>51</v>
      </c>
      <c r="C133" s="14" t="s">
        <v>253</v>
      </c>
      <c r="D133" s="14" t="s">
        <v>34</v>
      </c>
      <c r="E133" s="15" t="n">
        <v>3000</v>
      </c>
      <c r="F133" s="16" t="s">
        <v>35</v>
      </c>
      <c r="G133" s="16" t="s">
        <v>36</v>
      </c>
      <c r="H133" s="17" t="s">
        <v>37</v>
      </c>
      <c r="I133" s="14" t="s">
        <v>252</v>
      </c>
    </row>
    <row r="134" customFormat="false" ht="32.8" hidden="false" customHeight="false" outlineLevel="0" collapsed="false">
      <c r="A134" s="14" t="s">
        <v>254</v>
      </c>
      <c r="B134" s="14" t="s">
        <v>51</v>
      </c>
      <c r="C134" s="14" t="s">
        <v>255</v>
      </c>
      <c r="D134" s="14" t="s">
        <v>34</v>
      </c>
      <c r="E134" s="15" t="n">
        <v>2350</v>
      </c>
      <c r="F134" s="16" t="s">
        <v>35</v>
      </c>
      <c r="G134" s="16" t="s">
        <v>36</v>
      </c>
      <c r="H134" s="17" t="s">
        <v>37</v>
      </c>
      <c r="I134" s="14" t="s">
        <v>254</v>
      </c>
    </row>
    <row r="135" customFormat="false" ht="32.8" hidden="false" customHeight="false" outlineLevel="0" collapsed="false">
      <c r="A135" s="14" t="s">
        <v>254</v>
      </c>
      <c r="B135" s="14" t="s">
        <v>66</v>
      </c>
      <c r="C135" s="14" t="s">
        <v>256</v>
      </c>
      <c r="D135" s="14" t="s">
        <v>257</v>
      </c>
      <c r="E135" s="15" t="n">
        <v>650</v>
      </c>
      <c r="F135" s="16" t="s">
        <v>35</v>
      </c>
      <c r="G135" s="16" t="s">
        <v>36</v>
      </c>
      <c r="H135" s="17" t="s">
        <v>37</v>
      </c>
      <c r="I135" s="14" t="s">
        <v>254</v>
      </c>
    </row>
    <row r="136" customFormat="false" ht="43.25" hidden="false" customHeight="false" outlineLevel="0" collapsed="false">
      <c r="A136" s="14" t="s">
        <v>258</v>
      </c>
      <c r="B136" s="14" t="s">
        <v>51</v>
      </c>
      <c r="C136" s="14" t="s">
        <v>259</v>
      </c>
      <c r="D136" s="14" t="s">
        <v>34</v>
      </c>
      <c r="E136" s="15" t="n">
        <v>1000</v>
      </c>
      <c r="F136" s="16" t="s">
        <v>35</v>
      </c>
      <c r="G136" s="16" t="s">
        <v>36</v>
      </c>
      <c r="H136" s="17" t="s">
        <v>37</v>
      </c>
      <c r="I136" s="14" t="s">
        <v>258</v>
      </c>
    </row>
    <row r="137" customFormat="false" ht="22.35" hidden="false" customHeight="false" outlineLevel="0" collapsed="false">
      <c r="A137" s="14" t="s">
        <v>260</v>
      </c>
      <c r="B137" s="14" t="s">
        <v>38</v>
      </c>
      <c r="C137" s="14" t="s">
        <v>261</v>
      </c>
      <c r="D137" s="14" t="s">
        <v>251</v>
      </c>
      <c r="E137" s="15" t="n">
        <v>1510</v>
      </c>
      <c r="F137" s="16" t="s">
        <v>35</v>
      </c>
      <c r="G137" s="16" t="s">
        <v>36</v>
      </c>
      <c r="H137" s="17" t="s">
        <v>37</v>
      </c>
      <c r="I137" s="14" t="s">
        <v>260</v>
      </c>
    </row>
    <row r="138" customFormat="false" ht="15" hidden="false" customHeight="false" outlineLevel="0" collapsed="false">
      <c r="A138" s="14" t="s">
        <v>260</v>
      </c>
      <c r="B138" s="14" t="s">
        <v>71</v>
      </c>
      <c r="C138" s="14" t="s">
        <v>262</v>
      </c>
      <c r="D138" s="14" t="s">
        <v>245</v>
      </c>
      <c r="E138" s="15" t="n">
        <v>50</v>
      </c>
      <c r="F138" s="16" t="s">
        <v>35</v>
      </c>
      <c r="G138" s="16" t="s">
        <v>36</v>
      </c>
      <c r="H138" s="17" t="s">
        <v>37</v>
      </c>
      <c r="I138" s="14" t="s">
        <v>260</v>
      </c>
    </row>
    <row r="139" customFormat="false" ht="15" hidden="false" customHeight="false" outlineLevel="0" collapsed="false">
      <c r="A139" s="14" t="s">
        <v>260</v>
      </c>
      <c r="B139" s="14" t="s">
        <v>51</v>
      </c>
      <c r="C139" s="14" t="s">
        <v>263</v>
      </c>
      <c r="D139" s="14" t="s">
        <v>45</v>
      </c>
      <c r="E139" s="15" t="n">
        <v>150</v>
      </c>
      <c r="F139" s="16" t="s">
        <v>35</v>
      </c>
      <c r="G139" s="16" t="s">
        <v>36</v>
      </c>
      <c r="H139" s="17" t="s">
        <v>37</v>
      </c>
      <c r="I139" s="14" t="s">
        <v>260</v>
      </c>
    </row>
    <row r="140" customFormat="false" ht="22.35" hidden="false" customHeight="false" outlineLevel="0" collapsed="false">
      <c r="A140" s="14" t="s">
        <v>260</v>
      </c>
      <c r="B140" s="14" t="s">
        <v>51</v>
      </c>
      <c r="C140" s="14" t="s">
        <v>264</v>
      </c>
      <c r="D140" s="14" t="s">
        <v>34</v>
      </c>
      <c r="E140" s="15" t="n">
        <v>1050</v>
      </c>
      <c r="F140" s="16" t="s">
        <v>35</v>
      </c>
      <c r="G140" s="16" t="s">
        <v>36</v>
      </c>
      <c r="H140" s="17" t="s">
        <v>37</v>
      </c>
      <c r="I140" s="14" t="s">
        <v>260</v>
      </c>
    </row>
    <row r="141" customFormat="false" ht="15" hidden="false" customHeight="false" outlineLevel="0" collapsed="false">
      <c r="A141" s="14" t="s">
        <v>265</v>
      </c>
      <c r="B141" s="14" t="s">
        <v>51</v>
      </c>
      <c r="C141" s="14" t="s">
        <v>266</v>
      </c>
      <c r="D141" s="14" t="s">
        <v>34</v>
      </c>
      <c r="E141" s="15" t="n">
        <v>1500</v>
      </c>
      <c r="F141" s="16" t="s">
        <v>35</v>
      </c>
      <c r="G141" s="16" t="s">
        <v>36</v>
      </c>
      <c r="H141" s="17" t="s">
        <v>37</v>
      </c>
      <c r="I141" s="14" t="s">
        <v>267</v>
      </c>
    </row>
    <row r="142" customFormat="false" ht="15" hidden="false" customHeight="false" outlineLevel="0" collapsed="false">
      <c r="A142" s="14" t="s">
        <v>265</v>
      </c>
      <c r="B142" s="14" t="s">
        <v>106</v>
      </c>
      <c r="C142" s="14" t="s">
        <v>268</v>
      </c>
      <c r="D142" s="14" t="s">
        <v>111</v>
      </c>
      <c r="E142" s="15" t="n">
        <v>200</v>
      </c>
      <c r="F142" s="16" t="s">
        <v>35</v>
      </c>
      <c r="G142" s="16" t="s">
        <v>36</v>
      </c>
      <c r="H142" s="17" t="s">
        <v>37</v>
      </c>
      <c r="I142" s="14" t="s">
        <v>267</v>
      </c>
    </row>
    <row r="143" customFormat="false" ht="15" hidden="false" customHeight="false" outlineLevel="0" collapsed="false">
      <c r="A143" s="14" t="s">
        <v>265</v>
      </c>
      <c r="B143" s="14" t="s">
        <v>38</v>
      </c>
      <c r="C143" s="14" t="s">
        <v>269</v>
      </c>
      <c r="D143" s="14" t="s">
        <v>270</v>
      </c>
      <c r="E143" s="15" t="n">
        <v>250</v>
      </c>
      <c r="F143" s="16" t="s">
        <v>35</v>
      </c>
      <c r="G143" s="16" t="s">
        <v>36</v>
      </c>
      <c r="H143" s="17" t="s">
        <v>37</v>
      </c>
      <c r="I143" s="14" t="s">
        <v>267</v>
      </c>
    </row>
    <row r="144" customFormat="false" ht="15" hidden="false" customHeight="false" outlineLevel="0" collapsed="false">
      <c r="A144" s="14" t="s">
        <v>265</v>
      </c>
      <c r="B144" s="14" t="s">
        <v>51</v>
      </c>
      <c r="C144" s="14" t="s">
        <v>271</v>
      </c>
      <c r="D144" s="14" t="s">
        <v>45</v>
      </c>
      <c r="E144" s="15" t="n">
        <v>50</v>
      </c>
      <c r="F144" s="16" t="s">
        <v>35</v>
      </c>
      <c r="G144" s="16" t="s">
        <v>36</v>
      </c>
      <c r="H144" s="17" t="s">
        <v>37</v>
      </c>
      <c r="I144" s="14" t="s">
        <v>267</v>
      </c>
    </row>
    <row r="145" customFormat="false" ht="15" hidden="false" customHeight="false" outlineLevel="0" collapsed="false">
      <c r="A145" s="14" t="s">
        <v>265</v>
      </c>
      <c r="B145" s="14" t="s">
        <v>71</v>
      </c>
      <c r="C145" s="14" t="s">
        <v>272</v>
      </c>
      <c r="D145" s="14" t="s">
        <v>222</v>
      </c>
      <c r="E145" s="15" t="n">
        <v>40</v>
      </c>
      <c r="F145" s="16" t="s">
        <v>35</v>
      </c>
      <c r="G145" s="16" t="s">
        <v>36</v>
      </c>
      <c r="H145" s="17" t="s">
        <v>37</v>
      </c>
      <c r="I145" s="14" t="s">
        <v>267</v>
      </c>
    </row>
    <row r="146" customFormat="false" ht="15" hidden="false" customHeight="false" outlineLevel="0" collapsed="false">
      <c r="A146" s="14" t="s">
        <v>265</v>
      </c>
      <c r="B146" s="14" t="s">
        <v>38</v>
      </c>
      <c r="C146" s="14" t="s">
        <v>273</v>
      </c>
      <c r="D146" s="14" t="s">
        <v>42</v>
      </c>
      <c r="E146" s="15" t="n">
        <v>2600</v>
      </c>
      <c r="F146" s="16" t="s">
        <v>35</v>
      </c>
      <c r="G146" s="16" t="s">
        <v>36</v>
      </c>
      <c r="H146" s="17" t="s">
        <v>37</v>
      </c>
      <c r="I146" s="14" t="s">
        <v>267</v>
      </c>
    </row>
    <row r="147" customFormat="false" ht="15" hidden="false" customHeight="false" outlineLevel="0" collapsed="false">
      <c r="A147" s="14" t="s">
        <v>138</v>
      </c>
      <c r="B147" s="14" t="s">
        <v>43</v>
      </c>
      <c r="C147" s="14" t="s">
        <v>274</v>
      </c>
      <c r="D147" s="14" t="s">
        <v>81</v>
      </c>
      <c r="E147" s="15" t="n">
        <v>9500</v>
      </c>
      <c r="F147" s="16" t="s">
        <v>35</v>
      </c>
      <c r="G147" s="16" t="s">
        <v>36</v>
      </c>
      <c r="H147" s="18" t="s">
        <v>275</v>
      </c>
      <c r="I147" s="14"/>
    </row>
    <row r="148" customFormat="false" ht="15" hidden="false" customHeight="false" outlineLevel="0" collapsed="false">
      <c r="A148" s="14" t="s">
        <v>138</v>
      </c>
      <c r="B148" s="14" t="s">
        <v>43</v>
      </c>
      <c r="C148" s="14" t="s">
        <v>276</v>
      </c>
      <c r="D148" s="14" t="s">
        <v>81</v>
      </c>
      <c r="E148" s="15" t="n">
        <v>1000</v>
      </c>
      <c r="F148" s="16" t="s">
        <v>48</v>
      </c>
      <c r="G148" s="16" t="s">
        <v>36</v>
      </c>
      <c r="H148" s="18" t="s">
        <v>275</v>
      </c>
      <c r="I148" s="14"/>
    </row>
    <row r="149" customFormat="false" ht="15" hidden="false" customHeight="false" outlineLevel="0" collapsed="false">
      <c r="A149" s="14" t="s">
        <v>138</v>
      </c>
      <c r="B149" s="14" t="s">
        <v>43</v>
      </c>
      <c r="C149" s="14" t="s">
        <v>277</v>
      </c>
      <c r="D149" s="14" t="s">
        <v>81</v>
      </c>
      <c r="E149" s="15" t="n">
        <v>750</v>
      </c>
      <c r="F149" s="16" t="s">
        <v>48</v>
      </c>
      <c r="G149" s="16" t="s">
        <v>36</v>
      </c>
      <c r="H149" s="18" t="s">
        <v>275</v>
      </c>
      <c r="I149" s="14"/>
    </row>
    <row r="150" customFormat="false" ht="15" hidden="false" customHeight="false" outlineLevel="0" collapsed="false">
      <c r="A150" s="14" t="s">
        <v>138</v>
      </c>
      <c r="B150" s="14" t="s">
        <v>43</v>
      </c>
      <c r="C150" s="14" t="s">
        <v>278</v>
      </c>
      <c r="D150" s="14" t="s">
        <v>81</v>
      </c>
      <c r="E150" s="15" t="n">
        <v>1000</v>
      </c>
      <c r="F150" s="16" t="s">
        <v>35</v>
      </c>
      <c r="G150" s="16" t="s">
        <v>36</v>
      </c>
      <c r="H150" s="18" t="s">
        <v>275</v>
      </c>
      <c r="I150" s="14"/>
    </row>
    <row r="151" customFormat="false" ht="15" hidden="false" customHeight="false" outlineLevel="0" collapsed="false">
      <c r="A151" s="14" t="s">
        <v>138</v>
      </c>
      <c r="B151" s="14" t="s">
        <v>123</v>
      </c>
      <c r="C151" s="14" t="s">
        <v>279</v>
      </c>
      <c r="D151" s="14" t="s">
        <v>280</v>
      </c>
      <c r="E151" s="15" t="n">
        <v>550</v>
      </c>
      <c r="F151" s="16" t="s">
        <v>35</v>
      </c>
      <c r="G151" s="16" t="s">
        <v>36</v>
      </c>
      <c r="H151" s="18" t="s">
        <v>275</v>
      </c>
      <c r="I151" s="14"/>
    </row>
    <row r="152" customFormat="false" ht="15" hidden="false" customHeight="false" outlineLevel="0" collapsed="false">
      <c r="A152" s="14" t="s">
        <v>203</v>
      </c>
      <c r="B152" s="14" t="s">
        <v>82</v>
      </c>
      <c r="C152" s="14" t="s">
        <v>281</v>
      </c>
      <c r="D152" s="14" t="s">
        <v>163</v>
      </c>
      <c r="E152" s="15" t="n">
        <v>600</v>
      </c>
      <c r="F152" s="16" t="s">
        <v>35</v>
      </c>
      <c r="G152" s="16" t="s">
        <v>36</v>
      </c>
      <c r="H152" s="18" t="s">
        <v>275</v>
      </c>
      <c r="I152" s="14"/>
    </row>
    <row r="153" customFormat="false" ht="15" hidden="false" customHeight="false" outlineLevel="0" collapsed="false">
      <c r="A153" s="14" t="s">
        <v>243</v>
      </c>
      <c r="B153" s="14" t="s">
        <v>77</v>
      </c>
      <c r="C153" s="14" t="s">
        <v>282</v>
      </c>
      <c r="D153" s="14" t="s">
        <v>88</v>
      </c>
      <c r="E153" s="15" t="n">
        <v>1865</v>
      </c>
      <c r="F153" s="16" t="s">
        <v>35</v>
      </c>
      <c r="G153" s="16" t="s">
        <v>36</v>
      </c>
      <c r="H153" s="17" t="s">
        <v>37</v>
      </c>
      <c r="I153" s="14" t="s">
        <v>243</v>
      </c>
    </row>
    <row r="154" customFormat="false" ht="15" hidden="false" customHeight="false" outlineLevel="0" collapsed="false">
      <c r="A154" s="14" t="s">
        <v>283</v>
      </c>
      <c r="B154" s="14" t="s">
        <v>77</v>
      </c>
      <c r="C154" s="14" t="s">
        <v>284</v>
      </c>
      <c r="D154" s="14" t="s">
        <v>88</v>
      </c>
      <c r="E154" s="15" t="n">
        <v>1990</v>
      </c>
      <c r="F154" s="16" t="s">
        <v>35</v>
      </c>
      <c r="G154" s="16" t="s">
        <v>36</v>
      </c>
      <c r="H154" s="17" t="s">
        <v>37</v>
      </c>
      <c r="I154" s="14" t="s">
        <v>283</v>
      </c>
    </row>
    <row r="155" customFormat="false" ht="15" hidden="false" customHeight="false" outlineLevel="0" collapsed="false">
      <c r="A155" s="14" t="s">
        <v>226</v>
      </c>
      <c r="B155" s="14" t="s">
        <v>77</v>
      </c>
      <c r="C155" s="14" t="s">
        <v>285</v>
      </c>
      <c r="D155" s="14" t="s">
        <v>88</v>
      </c>
      <c r="E155" s="15" t="n">
        <v>3</v>
      </c>
      <c r="F155" s="16" t="s">
        <v>48</v>
      </c>
      <c r="G155" s="16" t="s">
        <v>36</v>
      </c>
      <c r="H155" s="18" t="s">
        <v>275</v>
      </c>
      <c r="I155" s="14"/>
    </row>
    <row r="156" customFormat="false" ht="15" hidden="false" customHeight="false" outlineLevel="0" collapsed="false">
      <c r="A156" s="14" t="s">
        <v>241</v>
      </c>
      <c r="B156" s="14" t="s">
        <v>51</v>
      </c>
      <c r="C156" s="14" t="s">
        <v>286</v>
      </c>
      <c r="D156" s="14" t="s">
        <v>34</v>
      </c>
      <c r="E156" s="15" t="n">
        <v>150</v>
      </c>
      <c r="F156" s="16" t="s">
        <v>35</v>
      </c>
      <c r="G156" s="16" t="s">
        <v>36</v>
      </c>
      <c r="H156" s="17" t="s">
        <v>37</v>
      </c>
      <c r="I156" s="14" t="s">
        <v>243</v>
      </c>
    </row>
    <row r="157" customFormat="false" ht="15" hidden="false" customHeight="false" outlineLevel="0" collapsed="false">
      <c r="A157" s="14" t="s">
        <v>209</v>
      </c>
      <c r="B157" s="14" t="s">
        <v>51</v>
      </c>
      <c r="C157" s="14" t="s">
        <v>287</v>
      </c>
      <c r="D157" s="14" t="s">
        <v>34</v>
      </c>
      <c r="E157" s="15" t="n">
        <v>45</v>
      </c>
      <c r="F157" s="16" t="s">
        <v>35</v>
      </c>
      <c r="G157" s="16" t="s">
        <v>36</v>
      </c>
      <c r="H157" s="18" t="s">
        <v>275</v>
      </c>
      <c r="I157" s="14"/>
    </row>
    <row r="158" customFormat="false" ht="53.7" hidden="false" customHeight="false" outlineLevel="0" collapsed="false">
      <c r="A158" s="14" t="s">
        <v>288</v>
      </c>
      <c r="B158" s="14" t="s">
        <v>51</v>
      </c>
      <c r="C158" s="14" t="s">
        <v>289</v>
      </c>
      <c r="D158" s="14" t="s">
        <v>34</v>
      </c>
      <c r="E158" s="15" t="n">
        <v>1905</v>
      </c>
      <c r="F158" s="16" t="s">
        <v>35</v>
      </c>
      <c r="G158" s="16" t="s">
        <v>36</v>
      </c>
      <c r="H158" s="18" t="s">
        <v>275</v>
      </c>
      <c r="I158" s="14"/>
    </row>
    <row r="159" customFormat="false" ht="15" hidden="false" customHeight="false" outlineLevel="0" collapsed="false">
      <c r="A159" s="14" t="s">
        <v>283</v>
      </c>
      <c r="B159" s="14" t="s">
        <v>51</v>
      </c>
      <c r="C159" s="14" t="s">
        <v>290</v>
      </c>
      <c r="D159" s="14" t="s">
        <v>34</v>
      </c>
      <c r="E159" s="15" t="n">
        <v>1000</v>
      </c>
      <c r="F159" s="16" t="s">
        <v>35</v>
      </c>
      <c r="G159" s="16" t="s">
        <v>36</v>
      </c>
      <c r="H159" s="17" t="s">
        <v>37</v>
      </c>
      <c r="I159" s="14" t="s">
        <v>283</v>
      </c>
    </row>
    <row r="160" customFormat="false" ht="43.25" hidden="false" customHeight="false" outlineLevel="0" collapsed="false">
      <c r="A160" s="14" t="s">
        <v>291</v>
      </c>
      <c r="B160" s="14" t="s">
        <v>106</v>
      </c>
      <c r="C160" s="14" t="s">
        <v>292</v>
      </c>
      <c r="D160" s="14" t="s">
        <v>293</v>
      </c>
      <c r="E160" s="15" t="n">
        <v>400</v>
      </c>
      <c r="F160" s="16" t="s">
        <v>294</v>
      </c>
      <c r="G160" s="16" t="s">
        <v>183</v>
      </c>
      <c r="H160" s="18" t="s">
        <v>275</v>
      </c>
      <c r="I160" s="14"/>
    </row>
    <row r="161" customFormat="false" ht="22.35" hidden="false" customHeight="false" outlineLevel="0" collapsed="false">
      <c r="A161" s="14" t="s">
        <v>258</v>
      </c>
      <c r="B161" s="14" t="s">
        <v>38</v>
      </c>
      <c r="C161" s="14" t="s">
        <v>295</v>
      </c>
      <c r="D161" s="14" t="s">
        <v>251</v>
      </c>
      <c r="E161" s="15" t="n">
        <v>950</v>
      </c>
      <c r="F161" s="16" t="s">
        <v>35</v>
      </c>
      <c r="G161" s="16" t="s">
        <v>36</v>
      </c>
      <c r="H161" s="17" t="s">
        <v>37</v>
      </c>
      <c r="I161" s="14" t="s">
        <v>258</v>
      </c>
    </row>
    <row r="162" customFormat="false" ht="22.35" hidden="false" customHeight="false" outlineLevel="0" collapsed="false">
      <c r="A162" s="14" t="s">
        <v>258</v>
      </c>
      <c r="B162" s="14" t="s">
        <v>51</v>
      </c>
      <c r="C162" s="14" t="s">
        <v>296</v>
      </c>
      <c r="D162" s="14" t="s">
        <v>45</v>
      </c>
      <c r="E162" s="15" t="n">
        <v>750</v>
      </c>
      <c r="F162" s="16" t="s">
        <v>35</v>
      </c>
      <c r="G162" s="16" t="s">
        <v>36</v>
      </c>
      <c r="H162" s="17" t="s">
        <v>37</v>
      </c>
      <c r="I162" s="14" t="s">
        <v>258</v>
      </c>
    </row>
    <row r="163" customFormat="false" ht="15" hidden="false" customHeight="false" outlineLevel="0" collapsed="false">
      <c r="A163" s="14" t="s">
        <v>258</v>
      </c>
      <c r="B163" s="14" t="s">
        <v>71</v>
      </c>
      <c r="C163" s="14" t="s">
        <v>297</v>
      </c>
      <c r="D163" s="14" t="s">
        <v>245</v>
      </c>
      <c r="E163" s="15" t="n">
        <v>40</v>
      </c>
      <c r="F163" s="16" t="s">
        <v>35</v>
      </c>
      <c r="G163" s="16" t="s">
        <v>36</v>
      </c>
      <c r="H163" s="17" t="s">
        <v>37</v>
      </c>
      <c r="I163" s="14" t="s">
        <v>258</v>
      </c>
    </row>
    <row r="164" customFormat="false" ht="43.25" hidden="false" customHeight="false" outlineLevel="0" collapsed="false">
      <c r="A164" s="14" t="s">
        <v>298</v>
      </c>
      <c r="B164" s="14" t="s">
        <v>43</v>
      </c>
      <c r="C164" s="14" t="s">
        <v>299</v>
      </c>
      <c r="D164" s="14" t="s">
        <v>300</v>
      </c>
      <c r="E164" s="15" t="n">
        <v>250</v>
      </c>
      <c r="F164" s="16" t="s">
        <v>35</v>
      </c>
      <c r="G164" s="16" t="s">
        <v>36</v>
      </c>
      <c r="H164" s="17" t="s">
        <v>37</v>
      </c>
      <c r="I164" s="14" t="s">
        <v>258</v>
      </c>
    </row>
    <row r="165" customFormat="false" ht="32.8" hidden="false" customHeight="false" outlineLevel="0" collapsed="false">
      <c r="A165" s="14" t="s">
        <v>298</v>
      </c>
      <c r="B165" s="14" t="s">
        <v>43</v>
      </c>
      <c r="C165" s="14" t="s">
        <v>301</v>
      </c>
      <c r="D165" s="14" t="s">
        <v>300</v>
      </c>
      <c r="E165" s="15" t="n">
        <v>250</v>
      </c>
      <c r="F165" s="16" t="s">
        <v>35</v>
      </c>
      <c r="G165" s="16" t="s">
        <v>36</v>
      </c>
      <c r="H165" s="17" t="s">
        <v>37</v>
      </c>
      <c r="I165" s="14" t="s">
        <v>302</v>
      </c>
    </row>
    <row r="166" customFormat="false" ht="22.35" hidden="false" customHeight="false" outlineLevel="0" collapsed="false">
      <c r="A166" s="14" t="s">
        <v>303</v>
      </c>
      <c r="B166" s="14" t="s">
        <v>43</v>
      </c>
      <c r="C166" s="14" t="s">
        <v>304</v>
      </c>
      <c r="D166" s="14" t="s">
        <v>305</v>
      </c>
      <c r="E166" s="15" t="n">
        <v>192</v>
      </c>
      <c r="F166" s="16" t="s">
        <v>35</v>
      </c>
      <c r="G166" s="16" t="s">
        <v>36</v>
      </c>
      <c r="H166" s="18" t="s">
        <v>275</v>
      </c>
      <c r="I166" s="14"/>
    </row>
    <row r="167" customFormat="false" ht="15" hidden="false" customHeight="false" outlineLevel="0" collapsed="false">
      <c r="D167" s="19" t="s">
        <v>306</v>
      </c>
      <c r="E167" s="20" t="n">
        <f aca="false">SUMIF(H5:H166,"Paid",E5:E166)</f>
        <v>108161.47</v>
      </c>
    </row>
    <row r="168" customFormat="false" ht="15" hidden="false" customHeight="false" outlineLevel="0" collapsed="false">
      <c r="D168" s="19" t="s">
        <v>307</v>
      </c>
      <c r="E168" s="21" t="n">
        <f aca="false">SUMIF(H5:H166,"Committed",E5:E166)</f>
        <v>15945</v>
      </c>
    </row>
    <row r="169" customFormat="false" ht="15" hidden="false" customHeight="false" outlineLevel="0" collapsed="false">
      <c r="D169" s="22" t="s">
        <v>308</v>
      </c>
      <c r="E169" s="23" t="n">
        <f aca="false">SUMIFS(E5:E166,H5:H166,"Paid",G5:G166,"Yes")</f>
        <v>106133.92</v>
      </c>
    </row>
    <row r="170" customFormat="false" ht="15" hidden="false" customHeight="false" outlineLevel="0" collapsed="false">
      <c r="D170" s="22" t="s">
        <v>309</v>
      </c>
      <c r="E170" s="23" t="n">
        <f aca="false">SUMIFS(E5:E166,H5:H166,"Paid",G5:G166,"No")</f>
        <v>2027.55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1"/>
  </cols>
  <sheetData>
    <row r="1" customFormat="false" ht="27.75" hidden="false" customHeight="true" outlineLevel="0" collapsed="false">
      <c r="A1" s="1" t="s">
        <v>310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311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312</v>
      </c>
      <c r="B4" s="13" t="s">
        <v>26</v>
      </c>
      <c r="C4" s="13" t="s">
        <v>313</v>
      </c>
      <c r="D4" s="13" t="s">
        <v>314</v>
      </c>
      <c r="E4" s="13" t="s">
        <v>315</v>
      </c>
    </row>
    <row r="5" customFormat="false" ht="15" hidden="false" customHeight="false" outlineLevel="0" collapsed="false">
      <c r="A5" s="16" t="s">
        <v>316</v>
      </c>
      <c r="B5" s="24" t="n">
        <v>25000</v>
      </c>
      <c r="C5" s="14" t="s">
        <v>317</v>
      </c>
      <c r="D5" s="14" t="s">
        <v>318</v>
      </c>
      <c r="E5" s="17" t="s">
        <v>36</v>
      </c>
    </row>
    <row r="6" customFormat="false" ht="15" hidden="false" customHeight="false" outlineLevel="0" collapsed="false">
      <c r="A6" s="16" t="s">
        <v>316</v>
      </c>
      <c r="B6" s="24" t="n">
        <v>15000</v>
      </c>
      <c r="C6" s="14" t="s">
        <v>319</v>
      </c>
      <c r="D6" s="14" t="s">
        <v>320</v>
      </c>
      <c r="E6" s="17" t="s">
        <v>36</v>
      </c>
    </row>
    <row r="7" customFormat="false" ht="15" hidden="false" customHeight="false" outlineLevel="0" collapsed="false">
      <c r="A7" s="16" t="s">
        <v>321</v>
      </c>
      <c r="B7" s="24" t="n">
        <v>130000</v>
      </c>
      <c r="C7" s="14" t="s">
        <v>322</v>
      </c>
      <c r="D7" s="14" t="s">
        <v>323</v>
      </c>
      <c r="E7" s="17" t="s">
        <v>36</v>
      </c>
    </row>
    <row r="8" customFormat="false" ht="15" hidden="false" customHeight="false" outlineLevel="0" collapsed="false">
      <c r="A8" s="16" t="s">
        <v>324</v>
      </c>
      <c r="B8" s="24" t="n">
        <v>10000</v>
      </c>
      <c r="C8" s="14" t="s">
        <v>325</v>
      </c>
      <c r="D8" s="14" t="s">
        <v>326</v>
      </c>
      <c r="E8" s="17" t="s">
        <v>36</v>
      </c>
    </row>
    <row r="9" customFormat="false" ht="15" hidden="false" customHeight="false" outlineLevel="0" collapsed="false">
      <c r="A9" s="16" t="s">
        <v>327</v>
      </c>
      <c r="B9" s="24" t="n">
        <v>20000</v>
      </c>
      <c r="C9" s="14" t="s">
        <v>328</v>
      </c>
      <c r="D9" s="14" t="s">
        <v>329</v>
      </c>
      <c r="E9" s="17" t="s">
        <v>36</v>
      </c>
    </row>
    <row r="10" customFormat="false" ht="15" hidden="false" customHeight="false" outlineLevel="0" collapsed="false">
      <c r="A10" s="16" t="s">
        <v>330</v>
      </c>
      <c r="B10" s="24" t="n">
        <v>70000</v>
      </c>
      <c r="C10" s="14" t="s">
        <v>331</v>
      </c>
      <c r="D10" s="14" t="s">
        <v>332</v>
      </c>
      <c r="E10" s="17" t="s">
        <v>36</v>
      </c>
    </row>
    <row r="11" customFormat="false" ht="22.35" hidden="false" customHeight="false" outlineLevel="0" collapsed="false">
      <c r="A11" s="16" t="s">
        <v>333</v>
      </c>
      <c r="B11" s="24" t="n">
        <v>2000</v>
      </c>
      <c r="C11" s="14" t="s">
        <v>334</v>
      </c>
      <c r="D11" s="14" t="s">
        <v>335</v>
      </c>
      <c r="E11" s="18" t="s">
        <v>183</v>
      </c>
    </row>
    <row r="12" customFormat="false" ht="15" hidden="false" customHeight="false" outlineLevel="0" collapsed="false">
      <c r="A12" s="16" t="s">
        <v>336</v>
      </c>
      <c r="B12" s="24" t="n">
        <v>50000</v>
      </c>
      <c r="C12" s="14" t="s">
        <v>337</v>
      </c>
      <c r="D12" s="14" t="s">
        <v>338</v>
      </c>
      <c r="E12" s="17" t="s">
        <v>36</v>
      </c>
    </row>
    <row r="13" customFormat="false" ht="15" hidden="false" customHeight="false" outlineLevel="0" collapsed="false">
      <c r="A13" s="25" t="s">
        <v>339</v>
      </c>
      <c r="B13" s="26" t="n">
        <f aca="false">SUMIF(E5:E12,"Yes",B5:B12)</f>
        <v>320000</v>
      </c>
    </row>
    <row r="15" customFormat="false" ht="15" hidden="false" customHeight="false" outlineLevel="0" collapsed="false">
      <c r="A15" s="27" t="s">
        <v>340</v>
      </c>
      <c r="B15" s="27"/>
      <c r="C15" s="27"/>
      <c r="D15" s="27"/>
      <c r="E15" s="27"/>
    </row>
    <row r="16" customFormat="false" ht="15" hidden="false" customHeight="false" outlineLevel="0" collapsed="false">
      <c r="A16" s="27" t="s">
        <v>341</v>
      </c>
      <c r="B16" s="27"/>
      <c r="C16" s="27"/>
      <c r="D16" s="27"/>
      <c r="E16" s="27"/>
    </row>
  </sheetData>
  <mergeCells count="4">
    <mergeCell ref="A1:E1"/>
    <mergeCell ref="A2:E2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44"/>
  </cols>
  <sheetData>
    <row r="1" customFormat="false" ht="27.75" hidden="false" customHeight="true" outlineLevel="0" collapsed="false">
      <c r="A1" s="1" t="s">
        <v>342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343</v>
      </c>
      <c r="B2" s="2"/>
      <c r="C2" s="2"/>
      <c r="D2" s="2"/>
      <c r="E2" s="2"/>
    </row>
    <row r="4" customFormat="false" ht="23.85" hidden="false" customHeight="false" outlineLevel="0" collapsed="false">
      <c r="A4" s="13" t="s">
        <v>344</v>
      </c>
      <c r="B4" s="13" t="s">
        <v>345</v>
      </c>
      <c r="C4" s="13" t="s">
        <v>346</v>
      </c>
      <c r="D4" s="13" t="s">
        <v>26</v>
      </c>
      <c r="E4" s="13" t="s">
        <v>28</v>
      </c>
      <c r="F4" s="13" t="s">
        <v>347</v>
      </c>
    </row>
    <row r="5" customFormat="false" ht="15" hidden="false" customHeight="false" outlineLevel="0" collapsed="false">
      <c r="A5" s="14" t="s">
        <v>348</v>
      </c>
      <c r="B5" s="14" t="s">
        <v>349</v>
      </c>
      <c r="C5" s="14" t="s">
        <v>350</v>
      </c>
      <c r="D5" s="24" t="n">
        <v>18500</v>
      </c>
      <c r="E5" s="17" t="s">
        <v>36</v>
      </c>
      <c r="F5" s="14" t="s">
        <v>351</v>
      </c>
    </row>
    <row r="6" customFormat="false" ht="15" hidden="false" customHeight="false" outlineLevel="0" collapsed="false">
      <c r="A6" s="14" t="s">
        <v>352</v>
      </c>
      <c r="B6" s="14" t="s">
        <v>353</v>
      </c>
      <c r="C6" s="14" t="s">
        <v>354</v>
      </c>
      <c r="D6" s="24" t="n">
        <v>107000</v>
      </c>
      <c r="E6" s="17" t="s">
        <v>36</v>
      </c>
      <c r="F6" s="14" t="s">
        <v>355</v>
      </c>
    </row>
    <row r="7" customFormat="false" ht="15" hidden="false" customHeight="false" outlineLevel="0" collapsed="false">
      <c r="A7" s="14" t="s">
        <v>352</v>
      </c>
      <c r="B7" s="14" t="s">
        <v>356</v>
      </c>
      <c r="C7" s="14" t="s">
        <v>350</v>
      </c>
      <c r="D7" s="24" t="n">
        <v>19731</v>
      </c>
      <c r="E7" s="17" t="s">
        <v>36</v>
      </c>
      <c r="F7" s="14" t="s">
        <v>357</v>
      </c>
    </row>
    <row r="8" customFormat="false" ht="15" hidden="false" customHeight="false" outlineLevel="0" collapsed="false">
      <c r="A8" s="14" t="s">
        <v>358</v>
      </c>
      <c r="B8" s="14" t="s">
        <v>359</v>
      </c>
      <c r="C8" s="14" t="s">
        <v>360</v>
      </c>
      <c r="D8" s="24" t="n">
        <v>7410</v>
      </c>
      <c r="E8" s="17" t="s">
        <v>36</v>
      </c>
      <c r="F8" s="14" t="s">
        <v>361</v>
      </c>
    </row>
    <row r="9" customFormat="false" ht="15" hidden="false" customHeight="false" outlineLevel="0" collapsed="false">
      <c r="A9" s="14" t="s">
        <v>362</v>
      </c>
      <c r="B9" s="14" t="s">
        <v>363</v>
      </c>
      <c r="C9" s="14" t="s">
        <v>364</v>
      </c>
      <c r="D9" s="24" t="n">
        <v>4350</v>
      </c>
      <c r="E9" s="17" t="s">
        <v>36</v>
      </c>
      <c r="F9" s="14" t="s">
        <v>365</v>
      </c>
    </row>
    <row r="10" customFormat="false" ht="15" hidden="false" customHeight="false" outlineLevel="0" collapsed="false">
      <c r="A10" s="14" t="s">
        <v>362</v>
      </c>
      <c r="B10" s="14" t="s">
        <v>366</v>
      </c>
      <c r="C10" s="14" t="s">
        <v>150</v>
      </c>
      <c r="D10" s="24" t="n">
        <v>2000</v>
      </c>
      <c r="E10" s="17" t="s">
        <v>36</v>
      </c>
      <c r="F10" s="14" t="s">
        <v>367</v>
      </c>
    </row>
    <row r="11" customFormat="false" ht="15" hidden="false" customHeight="false" outlineLevel="0" collapsed="false">
      <c r="A11" s="14" t="s">
        <v>362</v>
      </c>
      <c r="B11" s="14" t="s">
        <v>368</v>
      </c>
      <c r="C11" s="14" t="s">
        <v>150</v>
      </c>
      <c r="D11" s="24" t="n">
        <v>1328</v>
      </c>
      <c r="E11" s="17" t="s">
        <v>36</v>
      </c>
      <c r="F11" s="14" t="s">
        <v>369</v>
      </c>
    </row>
    <row r="12" customFormat="false" ht="15" hidden="false" customHeight="false" outlineLevel="0" collapsed="false">
      <c r="A12" s="14" t="s">
        <v>370</v>
      </c>
      <c r="B12" s="14" t="s">
        <v>371</v>
      </c>
      <c r="C12" s="14" t="s">
        <v>372</v>
      </c>
      <c r="D12" s="24" t="n">
        <v>2490</v>
      </c>
      <c r="E12" s="17" t="s">
        <v>36</v>
      </c>
      <c r="F12" s="14" t="s">
        <v>357</v>
      </c>
    </row>
    <row r="13" customFormat="false" ht="15" hidden="false" customHeight="false" outlineLevel="0" collapsed="false">
      <c r="A13" s="14" t="s">
        <v>348</v>
      </c>
      <c r="B13" s="14" t="s">
        <v>373</v>
      </c>
      <c r="C13" s="14" t="s">
        <v>374</v>
      </c>
      <c r="D13" s="24" t="n">
        <v>800</v>
      </c>
      <c r="E13" s="17" t="s">
        <v>36</v>
      </c>
      <c r="F13" s="14" t="s">
        <v>375</v>
      </c>
    </row>
    <row r="14" customFormat="false" ht="15" hidden="false" customHeight="false" outlineLevel="0" collapsed="false">
      <c r="A14" s="14" t="s">
        <v>376</v>
      </c>
      <c r="B14" s="14" t="s">
        <v>377</v>
      </c>
      <c r="C14" s="14" t="s">
        <v>374</v>
      </c>
      <c r="D14" s="24" t="n">
        <v>520</v>
      </c>
      <c r="E14" s="17" t="s">
        <v>36</v>
      </c>
      <c r="F14" s="14"/>
    </row>
    <row r="15" customFormat="false" ht="15" hidden="false" customHeight="false" outlineLevel="0" collapsed="false">
      <c r="A15" s="14" t="s">
        <v>376</v>
      </c>
      <c r="B15" s="14" t="s">
        <v>378</v>
      </c>
      <c r="C15" s="14" t="s">
        <v>379</v>
      </c>
      <c r="D15" s="24" t="n">
        <v>680</v>
      </c>
      <c r="E15" s="17" t="s">
        <v>36</v>
      </c>
      <c r="F15" s="14"/>
    </row>
    <row r="16" customFormat="false" ht="15" hidden="false" customHeight="false" outlineLevel="0" collapsed="false">
      <c r="A16" s="14" t="s">
        <v>380</v>
      </c>
      <c r="B16" s="14" t="s">
        <v>381</v>
      </c>
      <c r="C16" s="14" t="s">
        <v>382</v>
      </c>
      <c r="D16" s="24" t="n">
        <v>3000</v>
      </c>
      <c r="E16" s="17" t="s">
        <v>36</v>
      </c>
      <c r="F16" s="14" t="s">
        <v>383</v>
      </c>
    </row>
    <row r="17" customFormat="false" ht="15" hidden="false" customHeight="false" outlineLevel="0" collapsed="false">
      <c r="A17" s="14" t="s">
        <v>380</v>
      </c>
      <c r="B17" s="14" t="s">
        <v>384</v>
      </c>
      <c r="C17" s="14" t="s">
        <v>48</v>
      </c>
      <c r="D17" s="24" t="n">
        <v>2700</v>
      </c>
      <c r="E17" s="18" t="s">
        <v>183</v>
      </c>
      <c r="F17" s="14" t="s">
        <v>385</v>
      </c>
    </row>
    <row r="18" customFormat="false" ht="15" hidden="false" customHeight="false" outlineLevel="0" collapsed="false">
      <c r="A18" s="14" t="s">
        <v>380</v>
      </c>
      <c r="B18" s="14" t="s">
        <v>386</v>
      </c>
      <c r="C18" s="14" t="s">
        <v>48</v>
      </c>
      <c r="D18" s="24" t="n">
        <v>1200</v>
      </c>
      <c r="E18" s="18" t="s">
        <v>183</v>
      </c>
      <c r="F18" s="14" t="s">
        <v>387</v>
      </c>
    </row>
    <row r="19" customFormat="false" ht="15" hidden="false" customHeight="false" outlineLevel="0" collapsed="false">
      <c r="C19" s="25" t="s">
        <v>388</v>
      </c>
      <c r="D19" s="26" t="n">
        <f aca="false">SUM(D5:D18)</f>
        <v>171709</v>
      </c>
    </row>
    <row r="20" customFormat="false" ht="15" hidden="false" customHeight="false" outlineLevel="0" collapsed="false">
      <c r="C20" s="19" t="s">
        <v>389</v>
      </c>
      <c r="D20" s="28" t="n">
        <f aca="false">SUMIF(E5:E18,"Yes",D5:D18)</f>
        <v>167809</v>
      </c>
    </row>
    <row r="22" customFormat="false" ht="15" hidden="false" customHeight="false" outlineLevel="0" collapsed="false">
      <c r="A22" s="27" t="s">
        <v>390</v>
      </c>
      <c r="B22" s="27"/>
      <c r="C22" s="27"/>
      <c r="D22" s="27"/>
      <c r="E22" s="27"/>
      <c r="F22" s="27"/>
    </row>
  </sheetData>
  <mergeCells count="3">
    <mergeCell ref="A1:E1"/>
    <mergeCell ref="A2:E2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391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392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344</v>
      </c>
      <c r="B4" s="13" t="s">
        <v>345</v>
      </c>
      <c r="C4" s="13" t="s">
        <v>27</v>
      </c>
      <c r="D4" s="13" t="s">
        <v>26</v>
      </c>
      <c r="E4" s="13" t="s">
        <v>347</v>
      </c>
    </row>
    <row r="5" customFormat="false" ht="15" hidden="false" customHeight="false" outlineLevel="0" collapsed="false">
      <c r="A5" s="14" t="s">
        <v>170</v>
      </c>
      <c r="B5" s="14" t="s">
        <v>393</v>
      </c>
      <c r="C5" s="14" t="s">
        <v>182</v>
      </c>
      <c r="D5" s="15" t="n">
        <v>614</v>
      </c>
      <c r="E5" s="14" t="s">
        <v>394</v>
      </c>
    </row>
    <row r="6" customFormat="false" ht="15" hidden="false" customHeight="false" outlineLevel="0" collapsed="false">
      <c r="A6" s="14" t="s">
        <v>205</v>
      </c>
      <c r="B6" s="14" t="s">
        <v>395</v>
      </c>
      <c r="C6" s="14" t="s">
        <v>208</v>
      </c>
      <c r="D6" s="15" t="n">
        <v>972.55</v>
      </c>
      <c r="E6" s="14" t="s">
        <v>396</v>
      </c>
    </row>
    <row r="7" customFormat="false" ht="15" hidden="false" customHeight="false" outlineLevel="0" collapsed="false">
      <c r="A7" s="14" t="s">
        <v>212</v>
      </c>
      <c r="B7" s="14" t="s">
        <v>397</v>
      </c>
      <c r="C7" s="14" t="s">
        <v>182</v>
      </c>
      <c r="D7" s="15" t="n">
        <v>286</v>
      </c>
      <c r="E7" s="14" t="s">
        <v>398</v>
      </c>
    </row>
    <row r="8" customFormat="false" ht="15" hidden="false" customHeight="false" outlineLevel="0" collapsed="false">
      <c r="A8" s="14" t="s">
        <v>216</v>
      </c>
      <c r="B8" s="14" t="s">
        <v>399</v>
      </c>
      <c r="C8" s="14" t="s">
        <v>208</v>
      </c>
      <c r="D8" s="15" t="n">
        <v>155</v>
      </c>
      <c r="E8" s="14" t="s">
        <v>400</v>
      </c>
    </row>
    <row r="9" customFormat="false" ht="15" hidden="false" customHeight="false" outlineLevel="0" collapsed="false">
      <c r="C9" s="19" t="s">
        <v>401</v>
      </c>
      <c r="D9" s="20" t="n">
        <f aca="false">SUM(D5:D8)</f>
        <v>2027.55</v>
      </c>
    </row>
    <row r="11" customFormat="false" ht="15" hidden="false" customHeight="false" outlineLevel="0" collapsed="false">
      <c r="A11" s="12" t="s">
        <v>402</v>
      </c>
      <c r="B11" s="12"/>
      <c r="C11" s="12"/>
      <c r="D11" s="12"/>
      <c r="E11" s="12"/>
    </row>
    <row r="12" customFormat="false" ht="15" hidden="false" customHeight="false" outlineLevel="0" collapsed="false">
      <c r="A12" s="13" t="s">
        <v>344</v>
      </c>
      <c r="B12" s="13" t="s">
        <v>345</v>
      </c>
      <c r="C12" s="13" t="s">
        <v>27</v>
      </c>
      <c r="D12" s="13" t="s">
        <v>26</v>
      </c>
      <c r="E12" s="13" t="s">
        <v>347</v>
      </c>
    </row>
    <row r="13" customFormat="false" ht="22.35" hidden="false" customHeight="false" outlineLevel="0" collapsed="false">
      <c r="A13" s="14" t="s">
        <v>216</v>
      </c>
      <c r="B13" s="14" t="s">
        <v>403</v>
      </c>
      <c r="C13" s="14" t="s">
        <v>404</v>
      </c>
      <c r="D13" s="15" t="n">
        <v>972.55</v>
      </c>
      <c r="E13" s="14" t="s">
        <v>405</v>
      </c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406</v>
      </c>
      <c r="B1" s="1"/>
      <c r="C1" s="1"/>
      <c r="D1" s="1"/>
    </row>
    <row r="2" customFormat="false" ht="15" hidden="false" customHeight="false" outlineLevel="0" collapsed="false">
      <c r="A2" s="2" t="s">
        <v>407</v>
      </c>
      <c r="B2" s="2"/>
      <c r="C2" s="2"/>
      <c r="D2" s="2"/>
    </row>
    <row r="4" customFormat="false" ht="15" hidden="false" customHeight="false" outlineLevel="0" collapsed="false">
      <c r="A4" s="13" t="s">
        <v>23</v>
      </c>
      <c r="B4" s="13" t="s">
        <v>408</v>
      </c>
      <c r="C4" s="13" t="s">
        <v>409</v>
      </c>
      <c r="D4" s="13" t="s">
        <v>410</v>
      </c>
    </row>
    <row r="5" customFormat="false" ht="15" hidden="false" customHeight="false" outlineLevel="0" collapsed="false">
      <c r="A5" s="14" t="s">
        <v>38</v>
      </c>
      <c r="B5" s="15" t="n">
        <f aca="false">SUMIFS('Renovation Ledger'!E5:E166,'Renovation Ledger'!B5:B166,A5,'Renovation Ledger'!H5:H166,"Paid")</f>
        <v>32650</v>
      </c>
      <c r="C5" s="24" t="n">
        <v>25000</v>
      </c>
      <c r="D5" s="14" t="s">
        <v>411</v>
      </c>
    </row>
    <row r="6" customFormat="false" ht="15" hidden="false" customHeight="false" outlineLevel="0" collapsed="false">
      <c r="A6" s="14" t="s">
        <v>51</v>
      </c>
      <c r="B6" s="15" t="n">
        <f aca="false">SUMIFS('Renovation Ledger'!E5:E166,'Renovation Ledger'!B5:B166,A6,'Renovation Ledger'!H5:H166,"Paid")</f>
        <v>42357.87</v>
      </c>
      <c r="C6" s="24" t="n">
        <v>25000</v>
      </c>
      <c r="D6" s="14" t="s">
        <v>412</v>
      </c>
    </row>
    <row r="7" customFormat="false" ht="15" hidden="false" customHeight="false" outlineLevel="0" collapsed="false">
      <c r="A7" s="14" t="s">
        <v>106</v>
      </c>
      <c r="B7" s="15" t="n">
        <f aca="false">SUMIFS('Renovation Ledger'!E5:E166,'Renovation Ledger'!B5:B166,A7,'Renovation Ledger'!H5:H166,"Paid")</f>
        <v>7119</v>
      </c>
      <c r="C7" s="24" t="n">
        <v>9000</v>
      </c>
      <c r="D7" s="14" t="s">
        <v>413</v>
      </c>
    </row>
    <row r="8" customFormat="false" ht="15" hidden="false" customHeight="false" outlineLevel="0" collapsed="false">
      <c r="A8" s="14" t="s">
        <v>43</v>
      </c>
      <c r="B8" s="15" t="n">
        <f aca="false">SUMIFS('Renovation Ledger'!E5:E166,'Renovation Ledger'!B5:B166,A8,'Renovation Ledger'!H5:H166,"Paid")</f>
        <v>2825</v>
      </c>
      <c r="C8" s="24" t="n">
        <v>11250</v>
      </c>
      <c r="D8" s="14" t="s">
        <v>414</v>
      </c>
    </row>
    <row r="9" customFormat="false" ht="15" hidden="false" customHeight="false" outlineLevel="0" collapsed="false">
      <c r="A9" s="14" t="s">
        <v>82</v>
      </c>
      <c r="B9" s="15" t="n">
        <f aca="false">SUMIFS('Renovation Ledger'!E5:E166,'Renovation Ledger'!B5:B166,A9,'Renovation Ledger'!H5:H166,"Paid")</f>
        <v>4300</v>
      </c>
      <c r="C9" s="24" t="n">
        <v>6000</v>
      </c>
      <c r="D9" s="14" t="s">
        <v>415</v>
      </c>
    </row>
    <row r="10" customFormat="false" ht="15" hidden="false" customHeight="false" outlineLevel="0" collapsed="false">
      <c r="A10" s="14" t="s">
        <v>104</v>
      </c>
      <c r="B10" s="15" t="n">
        <f aca="false">SUMIFS('Renovation Ledger'!E5:E166,'Renovation Ledger'!B5:B166,A10,'Renovation Ledger'!H5:H166,"Paid")</f>
        <v>4225</v>
      </c>
      <c r="C10" s="24" t="n">
        <v>4500</v>
      </c>
      <c r="D10" s="14" t="s">
        <v>416</v>
      </c>
    </row>
    <row r="11" customFormat="false" ht="15" hidden="false" customHeight="false" outlineLevel="0" collapsed="false">
      <c r="A11" s="14" t="s">
        <v>123</v>
      </c>
      <c r="B11" s="15" t="n">
        <f aca="false">SUMIFS('Renovation Ledger'!E5:E166,'Renovation Ledger'!B5:B166,A11,'Renovation Ledger'!H5:H166,"Paid")</f>
        <v>1550</v>
      </c>
      <c r="C11" s="24" t="n">
        <v>18700</v>
      </c>
      <c r="D11" s="14" t="s">
        <v>417</v>
      </c>
    </row>
    <row r="12" customFormat="false" ht="15" hidden="false" customHeight="false" outlineLevel="0" collapsed="false">
      <c r="A12" s="14" t="s">
        <v>32</v>
      </c>
      <c r="B12" s="15" t="n">
        <f aca="false">SUMIFS('Renovation Ledger'!E5:E166,'Renovation Ledger'!B5:B166,A12,'Renovation Ledger'!H5:H166,"Paid")</f>
        <v>2097</v>
      </c>
      <c r="C12" s="24" t="n">
        <v>2000</v>
      </c>
      <c r="D12" s="14" t="s">
        <v>418</v>
      </c>
    </row>
    <row r="13" customFormat="false" ht="15" hidden="false" customHeight="false" outlineLevel="0" collapsed="false">
      <c r="A13" s="14" t="s">
        <v>213</v>
      </c>
      <c r="B13" s="15" t="n">
        <f aca="false">SUMIFS('Renovation Ledger'!E5:E166,'Renovation Ledger'!B5:B166,A13,'Renovation Ledger'!H5:H166,"Paid")</f>
        <v>286</v>
      </c>
      <c r="C13" s="24" t="n">
        <v>25500</v>
      </c>
      <c r="D13" s="14" t="s">
        <v>419</v>
      </c>
    </row>
    <row r="14" customFormat="false" ht="15" hidden="false" customHeight="false" outlineLevel="0" collapsed="false">
      <c r="A14" s="14" t="s">
        <v>219</v>
      </c>
      <c r="B14" s="15" t="n">
        <f aca="false">SUMIFS('Renovation Ledger'!E5:E166,'Renovation Ledger'!B5:B166,A14,'Renovation Ledger'!H5:H166,"Paid")</f>
        <v>905</v>
      </c>
      <c r="C14" s="24" t="n">
        <v>1000</v>
      </c>
      <c r="D14" s="14" t="s">
        <v>420</v>
      </c>
    </row>
    <row r="15" customFormat="false" ht="15" hidden="false" customHeight="false" outlineLevel="0" collapsed="false">
      <c r="A15" s="14" t="s">
        <v>77</v>
      </c>
      <c r="B15" s="15" t="n">
        <f aca="false">SUMIFS('Renovation Ledger'!E5:E166,'Renovation Ledger'!B5:B166,A15,'Renovation Ledger'!H5:H166,"Paid")</f>
        <v>7666</v>
      </c>
      <c r="C15" s="24" t="n">
        <v>11350</v>
      </c>
      <c r="D15" s="14" t="s">
        <v>421</v>
      </c>
    </row>
    <row r="16" customFormat="false" ht="15" hidden="false" customHeight="false" outlineLevel="0" collapsed="false">
      <c r="A16" s="14" t="s">
        <v>95</v>
      </c>
      <c r="B16" s="15" t="n">
        <f aca="false">SUMIFS('Renovation Ledger'!E5:E166,'Renovation Ledger'!B5:B166,A16,'Renovation Ledger'!H5:H166,"Paid")</f>
        <v>300</v>
      </c>
      <c r="C16" s="24" t="n">
        <v>5000</v>
      </c>
      <c r="D16" s="14" t="s">
        <v>422</v>
      </c>
    </row>
    <row r="17" customFormat="false" ht="15" hidden="false" customHeight="false" outlineLevel="0" collapsed="false">
      <c r="A17" s="14" t="s">
        <v>71</v>
      </c>
      <c r="B17" s="15" t="n">
        <f aca="false">SUMIFS('Renovation Ledger'!E5:E166,'Renovation Ledger'!B5:B166,A17,'Renovation Ledger'!H5:H166,"Paid")</f>
        <v>360</v>
      </c>
      <c r="C17" s="24" t="n">
        <v>500</v>
      </c>
      <c r="D17" s="14" t="s">
        <v>175</v>
      </c>
    </row>
    <row r="18" customFormat="false" ht="15" hidden="false" customHeight="false" outlineLevel="0" collapsed="false">
      <c r="A18" s="14" t="s">
        <v>46</v>
      </c>
      <c r="B18" s="15" t="n">
        <f aca="false">SUMIFS('Renovation Ledger'!E5:E166,'Renovation Ledger'!B5:B166,A18,'Renovation Ledger'!H5:H166,"Paid")</f>
        <v>770.6</v>
      </c>
      <c r="C18" s="24" t="n">
        <v>500</v>
      </c>
      <c r="D18" s="14" t="s">
        <v>423</v>
      </c>
    </row>
    <row r="19" customFormat="false" ht="15" hidden="false" customHeight="false" outlineLevel="0" collapsed="false">
      <c r="A19" s="14" t="s">
        <v>66</v>
      </c>
      <c r="B19" s="15" t="n">
        <f aca="false">SUMIFS('Renovation Ledger'!E5:E166,'Renovation Ledger'!B5:B166,A19,'Renovation Ledger'!H5:H166,"Paid")</f>
        <v>750</v>
      </c>
      <c r="C19" s="24" t="n">
        <v>300</v>
      </c>
      <c r="D19" s="14" t="s">
        <v>424</v>
      </c>
    </row>
    <row r="20" customFormat="false" ht="15" hidden="false" customHeight="false" outlineLevel="0" collapsed="false">
      <c r="A20" s="29" t="s">
        <v>425</v>
      </c>
      <c r="B20" s="20" t="n">
        <f aca="false">SUM(B5:B19)</f>
        <v>108161.47</v>
      </c>
      <c r="C20" s="28" t="n">
        <f aca="false">SUM(C5:C19)</f>
        <v>145600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54"/>
  </cols>
  <sheetData>
    <row r="1" customFormat="false" ht="27.75" hidden="false" customHeight="true" outlineLevel="0" collapsed="false">
      <c r="A1" s="1" t="s">
        <v>426</v>
      </c>
      <c r="B1" s="1"/>
      <c r="C1" s="1"/>
      <c r="D1" s="1"/>
    </row>
    <row r="2" customFormat="false" ht="15" hidden="false" customHeight="false" outlineLevel="0" collapsed="false">
      <c r="A2" s="2" t="s">
        <v>427</v>
      </c>
      <c r="B2" s="2"/>
      <c r="C2" s="2"/>
      <c r="D2" s="2"/>
    </row>
    <row r="5" customFormat="false" ht="15" hidden="false" customHeight="false" outlineLevel="0" collapsed="false">
      <c r="B5" s="30" t="s">
        <v>428</v>
      </c>
      <c r="C5" s="31" t="n">
        <v>21066.81</v>
      </c>
      <c r="D5" s="32" t="s">
        <v>429</v>
      </c>
    </row>
    <row r="6" customFormat="false" ht="15" hidden="false" customHeight="false" outlineLevel="0" collapsed="false">
      <c r="B6" s="33" t="s">
        <v>430</v>
      </c>
      <c r="C6" s="34" t="n">
        <v>230000</v>
      </c>
      <c r="D6" s="32" t="s">
        <v>431</v>
      </c>
    </row>
    <row r="7" customFormat="false" ht="15" hidden="false" customHeight="false" outlineLevel="0" collapsed="false">
      <c r="B7" s="35" t="s">
        <v>432</v>
      </c>
      <c r="C7" s="36" t="n">
        <v>-139459.28</v>
      </c>
      <c r="D7" s="32" t="s">
        <v>433</v>
      </c>
    </row>
    <row r="8" customFormat="false" ht="15" hidden="false" customHeight="false" outlineLevel="0" collapsed="false">
      <c r="B8" s="35" t="s">
        <v>434</v>
      </c>
      <c r="C8" s="36" t="n">
        <v>-6350</v>
      </c>
      <c r="D8" s="32" t="s">
        <v>435</v>
      </c>
    </row>
    <row r="9" customFormat="false" ht="15" hidden="false" customHeight="false" outlineLevel="0" collapsed="false">
      <c r="B9" s="35" t="s">
        <v>436</v>
      </c>
      <c r="C9" s="36" t="n">
        <v>-64730</v>
      </c>
      <c r="D9" s="32" t="s">
        <v>437</v>
      </c>
    </row>
    <row r="10" customFormat="false" ht="15" hidden="false" customHeight="false" outlineLevel="0" collapsed="false">
      <c r="B10" s="35" t="s">
        <v>438</v>
      </c>
      <c r="C10" s="36" t="n">
        <v>-4494.92</v>
      </c>
      <c r="D10" s="32" t="s">
        <v>439</v>
      </c>
    </row>
    <row r="11" customFormat="false" ht="15" hidden="false" customHeight="false" outlineLevel="0" collapsed="false">
      <c r="B11" s="35" t="s">
        <v>440</v>
      </c>
      <c r="C11" s="36" t="n">
        <v>-711</v>
      </c>
      <c r="D11" s="32" t="s">
        <v>441</v>
      </c>
    </row>
    <row r="12" customFormat="false" ht="15" hidden="false" customHeight="false" outlineLevel="0" collapsed="false">
      <c r="B12" s="35" t="s">
        <v>442</v>
      </c>
      <c r="C12" s="36" t="n">
        <v>-104.17</v>
      </c>
      <c r="D12" s="32" t="s">
        <v>443</v>
      </c>
    </row>
    <row r="13" customFormat="false" ht="15" hidden="false" customHeight="false" outlineLevel="0" collapsed="false">
      <c r="B13" s="35" t="s">
        <v>444</v>
      </c>
      <c r="C13" s="36" t="n">
        <v>-14.5</v>
      </c>
      <c r="D13" s="32" t="s">
        <v>445</v>
      </c>
    </row>
    <row r="14" customFormat="false" ht="15" hidden="false" customHeight="false" outlineLevel="0" collapsed="false">
      <c r="B14" s="29" t="s">
        <v>446</v>
      </c>
      <c r="C14" s="37" t="n">
        <f aca="false">SUM(C5:C13)</f>
        <v>35202.94</v>
      </c>
    </row>
    <row r="15" customFormat="false" ht="15" hidden="false" customHeight="false" outlineLevel="0" collapsed="false">
      <c r="B15" s="29" t="s">
        <v>447</v>
      </c>
      <c r="C15" s="38" t="n">
        <v>35202.94</v>
      </c>
    </row>
    <row r="16" customFormat="false" ht="15" hidden="false" customHeight="false" outlineLevel="0" collapsed="false">
      <c r="B16" s="39" t="s">
        <v>448</v>
      </c>
      <c r="C16" s="40" t="n">
        <f aca="false">C14-C15</f>
        <v>0</v>
      </c>
    </row>
    <row r="18" customFormat="false" ht="15" hidden="false" customHeight="false" outlineLevel="0" collapsed="false">
      <c r="B18" s="29" t="s">
        <v>449</v>
      </c>
    </row>
    <row r="19" customFormat="false" ht="15" hidden="false" customHeight="false" outlineLevel="0" collapsed="false">
      <c r="B19" s="41" t="s">
        <v>450</v>
      </c>
      <c r="C19" s="42" t="n">
        <f aca="false">'Renovation Ledger'!E169</f>
        <v>106133.92</v>
      </c>
    </row>
    <row r="20" customFormat="false" ht="15" hidden="false" customHeight="false" outlineLevel="0" collapsed="false">
      <c r="B20" s="41" t="s">
        <v>451</v>
      </c>
      <c r="C20" s="42" t="n">
        <v>69935.92</v>
      </c>
    </row>
    <row r="21" customFormat="false" ht="15" hidden="false" customHeight="false" outlineLevel="0" collapsed="false">
      <c r="B21" s="43" t="s">
        <v>452</v>
      </c>
      <c r="C21" s="44" t="n">
        <f aca="false">'Renovation Ledger'!E169-69935.92</f>
        <v>36198</v>
      </c>
    </row>
    <row r="23" customFormat="false" ht="15" hidden="false" customHeight="true" outlineLevel="0" collapsed="false">
      <c r="B23" s="45" t="s">
        <v>453</v>
      </c>
      <c r="C23" s="45"/>
      <c r="D23" s="45"/>
    </row>
    <row r="24" customFormat="false" ht="22.35" hidden="false" customHeight="true" outlineLevel="0" collapsed="false">
      <c r="B24" s="45" t="s">
        <v>454</v>
      </c>
      <c r="C24" s="45"/>
      <c r="D24" s="45"/>
    </row>
    <row r="26" customFormat="false" ht="15" hidden="false" customHeight="false" outlineLevel="0" collapsed="false">
      <c r="B26" s="46" t="s">
        <v>455</v>
      </c>
      <c r="C26" s="46"/>
      <c r="D26" s="46"/>
    </row>
    <row r="27" customFormat="false" ht="15" hidden="false" customHeight="false" outlineLevel="0" collapsed="false">
      <c r="B27" s="41" t="s">
        <v>456</v>
      </c>
      <c r="C27" s="42" t="n">
        <v>35202.94</v>
      </c>
    </row>
    <row r="28" customFormat="false" ht="15" hidden="false" customHeight="false" outlineLevel="0" collapsed="false">
      <c r="B28" s="41" t="s">
        <v>457</v>
      </c>
      <c r="C28" s="42" t="n">
        <f aca="false">SUMPRODUCT(('Funding (NBG Deposits)'!A5:A12&gt;"2026-06-25")*('Funding (NBG Deposits)'!E5:E12="Yes")*'Funding (NBG Deposits)'!B5:B12)</f>
        <v>50000</v>
      </c>
    </row>
    <row r="29" customFormat="false" ht="15" hidden="false" customHeight="false" outlineLevel="0" collapsed="false">
      <c r="B29" s="41" t="s">
        <v>458</v>
      </c>
      <c r="C29" s="42" t="n">
        <f aca="false">SUMPRODUCT(('Renovation Ledger'!I5:I166&gt;"2026-06-25")*('Renovation Ledger'!H5:H166="Paid")*('Renovation Ledger'!G5:G166="Yes")*'Renovation Ledger'!E5:E166)</f>
        <v>34610</v>
      </c>
    </row>
    <row r="30" customFormat="false" ht="15" hidden="false" customHeight="false" outlineLevel="0" collapsed="false">
      <c r="B30" s="29" t="s">
        <v>459</v>
      </c>
      <c r="C30" s="47" t="n">
        <f aca="false">C27+C28-C29</f>
        <v>50592.94</v>
      </c>
    </row>
    <row r="31" customFormat="false" ht="15" hidden="false" customHeight="false" outlineLevel="0" collapsed="false">
      <c r="B31" s="29" t="s">
        <v>460</v>
      </c>
      <c r="C31" s="48" t="n">
        <v>49805</v>
      </c>
    </row>
    <row r="32" customFormat="false" ht="15" hidden="false" customHeight="false" outlineLevel="0" collapsed="false">
      <c r="B32" s="39" t="s">
        <v>461</v>
      </c>
      <c r="C32" s="49" t="n">
        <f aca="false">C30-C31</f>
        <v>787.940000000002</v>
      </c>
    </row>
    <row r="33" customFormat="false" ht="15" hidden="false" customHeight="false" outlineLevel="0" collapsed="false">
      <c r="B33" s="27" t="s">
        <v>462</v>
      </c>
      <c r="C33" s="27"/>
      <c r="D33" s="27"/>
    </row>
  </sheetData>
  <mergeCells count="6">
    <mergeCell ref="A1:D1"/>
    <mergeCell ref="A2:D2"/>
    <mergeCell ref="B23:D23"/>
    <mergeCell ref="B24:D24"/>
    <mergeCell ref="B26:D26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463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464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465</v>
      </c>
      <c r="B4" s="13" t="s">
        <v>466</v>
      </c>
      <c r="C4" s="13" t="s">
        <v>467</v>
      </c>
      <c r="D4" s="13" t="s">
        <v>29</v>
      </c>
      <c r="E4" s="13" t="s">
        <v>468</v>
      </c>
    </row>
    <row r="5" customFormat="false" ht="22.35" hidden="false" customHeight="false" outlineLevel="0" collapsed="false">
      <c r="A5" s="16" t="s">
        <v>469</v>
      </c>
      <c r="B5" s="14" t="s">
        <v>470</v>
      </c>
      <c r="C5" s="14" t="s">
        <v>471</v>
      </c>
      <c r="D5" s="17" t="s">
        <v>472</v>
      </c>
      <c r="E5" s="14" t="s">
        <v>473</v>
      </c>
    </row>
    <row r="6" customFormat="false" ht="22.35" hidden="false" customHeight="false" outlineLevel="0" collapsed="false">
      <c r="A6" s="16" t="s">
        <v>474</v>
      </c>
      <c r="B6" s="14" t="s">
        <v>475</v>
      </c>
      <c r="C6" s="14" t="s">
        <v>476</v>
      </c>
      <c r="D6" s="17" t="s">
        <v>472</v>
      </c>
      <c r="E6" s="14" t="s">
        <v>477</v>
      </c>
    </row>
    <row r="7" customFormat="false" ht="22.35" hidden="false" customHeight="false" outlineLevel="0" collapsed="false">
      <c r="A7" s="16" t="s">
        <v>478</v>
      </c>
      <c r="B7" s="14" t="s">
        <v>479</v>
      </c>
      <c r="C7" s="14" t="s">
        <v>480</v>
      </c>
      <c r="D7" s="17" t="s">
        <v>472</v>
      </c>
      <c r="E7" s="14" t="s">
        <v>481</v>
      </c>
    </row>
    <row r="8" customFormat="false" ht="32.8" hidden="false" customHeight="false" outlineLevel="0" collapsed="false">
      <c r="A8" s="16" t="s">
        <v>482</v>
      </c>
      <c r="B8" s="14" t="s">
        <v>483</v>
      </c>
      <c r="C8" s="14" t="s">
        <v>484</v>
      </c>
      <c r="D8" s="17" t="s">
        <v>472</v>
      </c>
      <c r="E8" s="14" t="s">
        <v>473</v>
      </c>
    </row>
    <row r="9" customFormat="false" ht="32.8" hidden="false" customHeight="false" outlineLevel="0" collapsed="false">
      <c r="A9" s="16" t="s">
        <v>485</v>
      </c>
      <c r="B9" s="14" t="s">
        <v>486</v>
      </c>
      <c r="C9" s="14" t="s">
        <v>487</v>
      </c>
      <c r="D9" s="17" t="s">
        <v>472</v>
      </c>
      <c r="E9" s="14" t="s">
        <v>473</v>
      </c>
    </row>
    <row r="10" customFormat="false" ht="32.8" hidden="false" customHeight="false" outlineLevel="0" collapsed="false">
      <c r="A10" s="16" t="s">
        <v>488</v>
      </c>
      <c r="B10" s="14" t="s">
        <v>489</v>
      </c>
      <c r="C10" s="14" t="s">
        <v>490</v>
      </c>
      <c r="D10" s="17" t="s">
        <v>472</v>
      </c>
      <c r="E10" s="14" t="s">
        <v>473</v>
      </c>
    </row>
    <row r="11" customFormat="false" ht="22.35" hidden="false" customHeight="false" outlineLevel="0" collapsed="false">
      <c r="A11" s="16" t="s">
        <v>491</v>
      </c>
      <c r="B11" s="14" t="s">
        <v>492</v>
      </c>
      <c r="C11" s="14" t="s">
        <v>493</v>
      </c>
      <c r="D11" s="17" t="s">
        <v>472</v>
      </c>
      <c r="E11" s="14" t="s">
        <v>473</v>
      </c>
    </row>
    <row r="12" customFormat="false" ht="32.8" hidden="false" customHeight="false" outlineLevel="0" collapsed="false">
      <c r="A12" s="16" t="s">
        <v>494</v>
      </c>
      <c r="B12" s="14" t="s">
        <v>495</v>
      </c>
      <c r="C12" s="14" t="s">
        <v>496</v>
      </c>
      <c r="D12" s="17" t="s">
        <v>472</v>
      </c>
      <c r="E12" s="14" t="s">
        <v>473</v>
      </c>
    </row>
    <row r="13" customFormat="false" ht="22.35" hidden="false" customHeight="false" outlineLevel="0" collapsed="false">
      <c r="A13" s="16" t="s">
        <v>497</v>
      </c>
      <c r="B13" s="14" t="s">
        <v>498</v>
      </c>
      <c r="C13" s="14" t="s">
        <v>499</v>
      </c>
      <c r="D13" s="17" t="s">
        <v>472</v>
      </c>
      <c r="E13" s="14" t="s">
        <v>473</v>
      </c>
    </row>
    <row r="14" customFormat="false" ht="22.35" hidden="false" customHeight="false" outlineLevel="0" collapsed="false">
      <c r="A14" s="16" t="s">
        <v>500</v>
      </c>
      <c r="B14" s="14" t="s">
        <v>501</v>
      </c>
      <c r="C14" s="14" t="s">
        <v>502</v>
      </c>
      <c r="D14" s="18" t="s">
        <v>503</v>
      </c>
      <c r="E14" s="14" t="s">
        <v>504</v>
      </c>
    </row>
    <row r="15" customFormat="false" ht="85.05" hidden="false" customHeight="false" outlineLevel="0" collapsed="false">
      <c r="A15" s="16" t="s">
        <v>505</v>
      </c>
      <c r="B15" s="14" t="s">
        <v>506</v>
      </c>
      <c r="C15" s="14" t="s">
        <v>507</v>
      </c>
      <c r="D15" s="18" t="s">
        <v>503</v>
      </c>
      <c r="E15" s="14" t="s">
        <v>508</v>
      </c>
    </row>
    <row r="16" customFormat="false" ht="64.15" hidden="false" customHeight="false" outlineLevel="0" collapsed="false">
      <c r="A16" s="16" t="s">
        <v>509</v>
      </c>
      <c r="B16" s="14" t="s">
        <v>510</v>
      </c>
      <c r="C16" s="14" t="s">
        <v>511</v>
      </c>
      <c r="D16" s="17" t="s">
        <v>472</v>
      </c>
      <c r="E16" s="14" t="s">
        <v>512</v>
      </c>
    </row>
    <row r="17" customFormat="false" ht="95.5" hidden="false" customHeight="false" outlineLevel="0" collapsed="false">
      <c r="A17" s="16" t="s">
        <v>513</v>
      </c>
      <c r="B17" s="14" t="s">
        <v>514</v>
      </c>
      <c r="C17" s="14" t="s">
        <v>515</v>
      </c>
      <c r="D17" s="18" t="s">
        <v>503</v>
      </c>
      <c r="E17" s="14" t="s">
        <v>516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2026-10-05T17:39:53Z</dcterms:created>
  <dc:creator>openpyxl</dc:creator>
  <dc:description/>
  <dc:language>en-US</dc:language>
  <cp:lastModifiedBy/>
  <dcterms:modified xsi:type="dcterms:W3CDTF">2026-10-05T17:39:53Z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