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<sst xmlns="http://schemas.openxmlformats.org/spreadsheetml/2006/main" count="1389" uniqueCount="446">
  <si>
    <t xml:space="preserve">Ag. Nikolaos Home — Project Balance Sheet</t>
  </si>
  <si>
    <t xml:space="preserve">Financial ground truth. Currency: EUR. Last updated 25 Jun 2026.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</si>
  <si>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</si>
  <si>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</si>
  <si>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</si>
  <si>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</si>
  <si>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</si>
  <si>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</si>
  <si>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Per official NBG statement, 25-Jun-2026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</si>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</sst>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Deposits)'!B12</f>
        <v>270000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35202.94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Ledger'!E141</f>
        <v>84341.47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Ledger'!E142</f>
        <v>17453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Ledger'!E141</f>
        <v>256050.47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45</v>
      </c>
      <c r="E121" s="15" t="n">
        <v>150</v>
      </c>
      <c r="F121" s="16" t="s">
        <v>35</v>
      </c>
      <c r="G121" s="16" t="s">
        <v>36</v>
      </c>
      <c r="H121" s="17" t="s">
        <v>37</v>
      </c>
      <c r="I121" s="14" t="s">
        <v>233</v>
      </c>
    </row>
    <row r="122" customFormat="false" ht="15" hidden="false" customHeight="false" outlineLevel="0" collapsed="false">
      <c r="A122" s="14" t="s">
        <v>231</v>
      </c>
      <c r="B122" s="14" t="s">
        <v>71</v>
      </c>
      <c r="C122" s="14" t="s">
        <v>234</v>
      </c>
      <c r="D122" s="14" t="s">
        <v>73</v>
      </c>
      <c r="E122" s="15" t="n">
        <v>40</v>
      </c>
      <c r="F122" s="16" t="s">
        <v>35</v>
      </c>
      <c r="G122" s="16" t="s">
        <v>36</v>
      </c>
      <c r="H122" s="17" t="s">
        <v>37</v>
      </c>
      <c r="I122" s="14" t="s">
        <v>233</v>
      </c>
    </row>
    <row r="123" customFormat="false" ht="22.35" hidden="false" customHeight="false" outlineLevel="0" collapsed="false">
      <c r="A123" s="14" t="s">
        <v>231</v>
      </c>
      <c r="B123" s="14" t="s">
        <v>51</v>
      </c>
      <c r="C123" s="14" t="s">
        <v>235</v>
      </c>
      <c r="D123" s="14" t="s">
        <v>45</v>
      </c>
      <c r="E123" s="15" t="n">
        <v>400</v>
      </c>
      <c r="F123" s="16" t="s">
        <v>35</v>
      </c>
      <c r="G123" s="16" t="s">
        <v>36</v>
      </c>
      <c r="H123" s="17" t="s">
        <v>37</v>
      </c>
      <c r="I123" s="14" t="s">
        <v>233</v>
      </c>
    </row>
    <row r="124" customFormat="false" ht="22.35" hidden="false" customHeight="false" outlineLevel="0" collapsed="false">
      <c r="A124" s="14" t="s">
        <v>231</v>
      </c>
      <c r="B124" s="14" t="s">
        <v>51</v>
      </c>
      <c r="C124" s="14" t="s">
        <v>236</v>
      </c>
      <c r="D124" s="14" t="s">
        <v>34</v>
      </c>
      <c r="E124" s="15" t="n">
        <v>1800</v>
      </c>
      <c r="F124" s="16" t="s">
        <v>35</v>
      </c>
      <c r="G124" s="16" t="s">
        <v>36</v>
      </c>
      <c r="H124" s="17" t="s">
        <v>37</v>
      </c>
      <c r="I124" s="14" t="s">
        <v>233</v>
      </c>
    </row>
    <row r="125" customFormat="false" ht="15" hidden="false" customHeight="false" outlineLevel="0" collapsed="false">
      <c r="A125" s="14" t="s">
        <v>231</v>
      </c>
      <c r="B125" s="14" t="s">
        <v>38</v>
      </c>
      <c r="C125" s="14" t="s">
        <v>237</v>
      </c>
      <c r="D125" s="14" t="s">
        <v>42</v>
      </c>
      <c r="E125" s="15" t="n">
        <v>1910</v>
      </c>
      <c r="F125" s="16" t="s">
        <v>35</v>
      </c>
      <c r="G125" s="16" t="s">
        <v>36</v>
      </c>
      <c r="H125" s="17" t="s">
        <v>37</v>
      </c>
      <c r="I125" s="14" t="s">
        <v>233</v>
      </c>
    </row>
    <row r="126" customFormat="false" ht="22.35" hidden="false" customHeight="false" outlineLevel="0" collapsed="false">
      <c r="A126" s="14" t="s">
        <v>233</v>
      </c>
      <c r="B126" s="14" t="s">
        <v>51</v>
      </c>
      <c r="C126" s="14" t="s">
        <v>238</v>
      </c>
      <c r="D126" s="14" t="s">
        <v>34</v>
      </c>
      <c r="E126" s="15" t="n">
        <v>1700</v>
      </c>
      <c r="F126" s="16" t="s">
        <v>35</v>
      </c>
      <c r="G126" s="16" t="s">
        <v>36</v>
      </c>
      <c r="H126" s="17" t="s">
        <v>37</v>
      </c>
      <c r="I126" s="14" t="s">
        <v>233</v>
      </c>
    </row>
    <row r="127" customFormat="false" ht="15" hidden="false" customHeight="false" outlineLevel="0" collapsed="false">
      <c r="A127" s="14" t="s">
        <v>239</v>
      </c>
      <c r="B127" s="14" t="s">
        <v>51</v>
      </c>
      <c r="C127" s="14" t="s">
        <v>240</v>
      </c>
      <c r="D127" s="14" t="s">
        <v>34</v>
      </c>
      <c r="E127" s="15" t="n">
        <v>1500</v>
      </c>
      <c r="F127" s="16" t="s">
        <v>35</v>
      </c>
      <c r="G127" s="16" t="s">
        <v>36</v>
      </c>
      <c r="H127" s="17" t="s">
        <v>37</v>
      </c>
      <c r="I127" s="14" t="s">
        <v>241</v>
      </c>
    </row>
    <row r="128" customFormat="false" ht="15" hidden="false" customHeight="false" outlineLevel="0" collapsed="false">
      <c r="A128" s="14" t="s">
        <v>239</v>
      </c>
      <c r="B128" s="14" t="s">
        <v>106</v>
      </c>
      <c r="C128" s="14" t="s">
        <v>242</v>
      </c>
      <c r="D128" s="14" t="s">
        <v>111</v>
      </c>
      <c r="E128" s="15" t="n">
        <v>200</v>
      </c>
      <c r="F128" s="16" t="s">
        <v>35</v>
      </c>
      <c r="G128" s="16" t="s">
        <v>36</v>
      </c>
      <c r="H128" s="17" t="s">
        <v>37</v>
      </c>
      <c r="I128" s="14" t="s">
        <v>241</v>
      </c>
    </row>
    <row r="129" customFormat="false" ht="15" hidden="false" customHeight="false" outlineLevel="0" collapsed="false">
      <c r="A129" s="14" t="s">
        <v>239</v>
      </c>
      <c r="B129" s="14" t="s">
        <v>38</v>
      </c>
      <c r="C129" s="14" t="s">
        <v>243</v>
      </c>
      <c r="D129" s="14" t="s">
        <v>244</v>
      </c>
      <c r="E129" s="15" t="n">
        <v>250</v>
      </c>
      <c r="F129" s="16" t="s">
        <v>35</v>
      </c>
      <c r="G129" s="16" t="s">
        <v>36</v>
      </c>
      <c r="H129" s="17" t="s">
        <v>37</v>
      </c>
      <c r="I129" s="14" t="s">
        <v>241</v>
      </c>
    </row>
    <row r="130" customFormat="false" ht="15" hidden="false" customHeight="false" outlineLevel="0" collapsed="false">
      <c r="A130" s="14" t="s">
        <v>239</v>
      </c>
      <c r="B130" s="14" t="s">
        <v>51</v>
      </c>
      <c r="C130" s="14" t="s">
        <v>245</v>
      </c>
      <c r="D130" s="14" t="s">
        <v>45</v>
      </c>
      <c r="E130" s="15" t="n">
        <v>50</v>
      </c>
      <c r="F130" s="16" t="s">
        <v>35</v>
      </c>
      <c r="G130" s="16" t="s">
        <v>36</v>
      </c>
      <c r="H130" s="17" t="s">
        <v>37</v>
      </c>
      <c r="I130" s="14" t="s">
        <v>241</v>
      </c>
    </row>
    <row r="131" customFormat="false" ht="15" hidden="false" customHeight="false" outlineLevel="0" collapsed="false">
      <c r="A131" s="14" t="s">
        <v>239</v>
      </c>
      <c r="B131" s="14" t="s">
        <v>71</v>
      </c>
      <c r="C131" s="14" t="s">
        <v>246</v>
      </c>
      <c r="D131" s="14" t="s">
        <v>222</v>
      </c>
      <c r="E131" s="15" t="n">
        <v>40</v>
      </c>
      <c r="F131" s="16" t="s">
        <v>35</v>
      </c>
      <c r="G131" s="16" t="s">
        <v>36</v>
      </c>
      <c r="H131" s="17" t="s">
        <v>37</v>
      </c>
      <c r="I131" s="14" t="s">
        <v>241</v>
      </c>
    </row>
    <row r="132" customFormat="false" ht="15" hidden="false" customHeight="false" outlineLevel="0" collapsed="false">
      <c r="A132" s="14" t="s">
        <v>239</v>
      </c>
      <c r="B132" s="14" t="s">
        <v>38</v>
      </c>
      <c r="C132" s="14" t="s">
        <v>247</v>
      </c>
      <c r="D132" s="14" t="s">
        <v>42</v>
      </c>
      <c r="E132" s="15" t="n">
        <v>2600</v>
      </c>
      <c r="F132" s="16" t="s">
        <v>35</v>
      </c>
      <c r="G132" s="16" t="s">
        <v>36</v>
      </c>
      <c r="H132" s="17" t="s">
        <v>37</v>
      </c>
      <c r="I132" s="14" t="s">
        <v>241</v>
      </c>
    </row>
    <row r="133" customFormat="false" ht="15" hidden="false" customHeight="false" outlineLevel="0" collapsed="false">
      <c r="A133" s="14" t="s">
        <v>138</v>
      </c>
      <c r="B133" s="14" t="s">
        <v>43</v>
      </c>
      <c r="C133" s="14" t="s">
        <v>248</v>
      </c>
      <c r="D133" s="14" t="s">
        <v>81</v>
      </c>
      <c r="E133" s="15" t="n">
        <v>9500</v>
      </c>
      <c r="F133" s="16" t="s">
        <v>35</v>
      </c>
      <c r="G133" s="16" t="s">
        <v>36</v>
      </c>
      <c r="H133" s="18" t="s">
        <v>249</v>
      </c>
      <c r="I133" s="14"/>
    </row>
    <row r="134" customFormat="false" ht="15" hidden="false" customHeight="false" outlineLevel="0" collapsed="false">
      <c r="A134" s="14" t="s">
        <v>138</v>
      </c>
      <c r="B134" s="14" t="s">
        <v>43</v>
      </c>
      <c r="C134" s="14" t="s">
        <v>250</v>
      </c>
      <c r="D134" s="14" t="s">
        <v>81</v>
      </c>
      <c r="E134" s="15" t="n">
        <v>1000</v>
      </c>
      <c r="F134" s="16" t="s">
        <v>48</v>
      </c>
      <c r="G134" s="16" t="s">
        <v>36</v>
      </c>
      <c r="H134" s="18" t="s">
        <v>249</v>
      </c>
      <c r="I134" s="14"/>
    </row>
    <row r="135" customFormat="false" ht="15" hidden="false" customHeight="false" outlineLevel="0" collapsed="false">
      <c r="A135" s="14" t="s">
        <v>138</v>
      </c>
      <c r="B135" s="14" t="s">
        <v>43</v>
      </c>
      <c r="C135" s="14" t="s">
        <v>251</v>
      </c>
      <c r="D135" s="14" t="s">
        <v>81</v>
      </c>
      <c r="E135" s="15" t="n">
        <v>750</v>
      </c>
      <c r="F135" s="16" t="s">
        <v>48</v>
      </c>
      <c r="G135" s="16" t="s">
        <v>36</v>
      </c>
      <c r="H135" s="18" t="s">
        <v>249</v>
      </c>
      <c r="I135" s="14"/>
    </row>
    <row r="136" customFormat="false" ht="15" hidden="false" customHeight="false" outlineLevel="0" collapsed="false">
      <c r="A136" s="14" t="s">
        <v>138</v>
      </c>
      <c r="B136" s="14" t="s">
        <v>43</v>
      </c>
      <c r="C136" s="14" t="s">
        <v>252</v>
      </c>
      <c r="D136" s="14" t="s">
        <v>81</v>
      </c>
      <c r="E136" s="15" t="n">
        <v>1000</v>
      </c>
      <c r="F136" s="16" t="s">
        <v>35</v>
      </c>
      <c r="G136" s="16" t="s">
        <v>36</v>
      </c>
      <c r="H136" s="18" t="s">
        <v>249</v>
      </c>
      <c r="I136" s="14"/>
    </row>
    <row r="137" customFormat="false" ht="15" hidden="false" customHeight="false" outlineLevel="0" collapsed="false">
      <c r="A137" s="14" t="s">
        <v>138</v>
      </c>
      <c r="B137" s="14" t="s">
        <v>123</v>
      </c>
      <c r="C137" s="14" t="s">
        <v>253</v>
      </c>
      <c r="D137" s="14" t="s">
        <v>254</v>
      </c>
      <c r="E137" s="15" t="n">
        <v>550</v>
      </c>
      <c r="F137" s="16" t="s">
        <v>35</v>
      </c>
      <c r="G137" s="16" t="s">
        <v>36</v>
      </c>
      <c r="H137" s="18" t="s">
        <v>249</v>
      </c>
      <c r="I137" s="14"/>
    </row>
    <row r="138" customFormat="false" ht="15" hidden="false" customHeight="false" outlineLevel="0" collapsed="false">
      <c r="A138" s="14" t="s">
        <v>203</v>
      </c>
      <c r="B138" s="14" t="s">
        <v>82</v>
      </c>
      <c r="C138" s="14" t="s">
        <v>255</v>
      </c>
      <c r="D138" s="14" t="s">
        <v>163</v>
      </c>
      <c r="E138" s="15" t="n">
        <v>600</v>
      </c>
      <c r="F138" s="16" t="s">
        <v>35</v>
      </c>
      <c r="G138" s="16" t="s">
        <v>36</v>
      </c>
      <c r="H138" s="18" t="s">
        <v>249</v>
      </c>
      <c r="I138" s="14"/>
    </row>
    <row r="139" customFormat="false" ht="15" hidden="false" customHeight="false" outlineLevel="0" collapsed="false">
      <c r="A139" s="14" t="s">
        <v>226</v>
      </c>
      <c r="B139" s="14" t="s">
        <v>77</v>
      </c>
      <c r="C139" s="14" t="s">
        <v>256</v>
      </c>
      <c r="D139" s="14" t="s">
        <v>88</v>
      </c>
      <c r="E139" s="15" t="n">
        <v>3858</v>
      </c>
      <c r="F139" s="16" t="s">
        <v>48</v>
      </c>
      <c r="G139" s="16" t="s">
        <v>36</v>
      </c>
      <c r="H139" s="18" t="s">
        <v>249</v>
      </c>
      <c r="I139" s="14"/>
    </row>
    <row r="140" customFormat="false" ht="15" hidden="false" customHeight="false" outlineLevel="0" collapsed="false">
      <c r="A140" s="14" t="s">
        <v>209</v>
      </c>
      <c r="B140" s="14" t="s">
        <v>51</v>
      </c>
      <c r="C140" s="14" t="s">
        <v>257</v>
      </c>
      <c r="D140" s="14" t="s">
        <v>34</v>
      </c>
      <c r="E140" s="15" t="n">
        <v>195</v>
      </c>
      <c r="F140" s="16" t="s">
        <v>35</v>
      </c>
      <c r="G140" s="16" t="s">
        <v>36</v>
      </c>
      <c r="H140" s="18" t="s">
        <v>249</v>
      </c>
      <c r="I140" s="14"/>
    </row>
    <row r="141" customFormat="false" ht="15" hidden="false" customHeight="false" outlineLevel="0" collapsed="false">
      <c r="D141" s="19" t="s">
        <v>258</v>
      </c>
      <c r="E141" s="20" t="n">
        <f aca="false">SUMIF(H5:H140,"Paid",E5:E140)</f>
        <v>84341.47</v>
      </c>
    </row>
    <row r="142" customFormat="false" ht="15" hidden="false" customHeight="false" outlineLevel="0" collapsed="false">
      <c r="D142" s="19" t="s">
        <v>259</v>
      </c>
      <c r="E142" s="21" t="n">
        <f aca="false">SUMIF(H5:H140,"Committed",E5:E140)</f>
        <v>17453</v>
      </c>
    </row>
    <row r="143" customFormat="false" ht="15" hidden="false" customHeight="false" outlineLevel="0" collapsed="false">
      <c r="D143" s="22" t="s">
        <v>260</v>
      </c>
      <c r="E143" s="23" t="n">
        <f aca="false">SUMIFS(E5:E140,H5:H140,"Paid",G5:G140,"Yes")</f>
        <v>82313.92</v>
      </c>
    </row>
    <row r="144" customFormat="false" ht="15" hidden="false" customHeight="false" outlineLevel="0" collapsed="false">
      <c r="D144" s="22" t="s">
        <v>261</v>
      </c>
      <c r="E144" s="23" t="n">
        <f aca="false">SUMIFS(E5:E140,H5:H140,"Paid",G5:G140,"No")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262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263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264</v>
      </c>
      <c r="B4" s="13" t="s">
        <v>26</v>
      </c>
      <c r="C4" s="13" t="s">
        <v>265</v>
      </c>
      <c r="D4" s="13" t="s">
        <v>266</v>
      </c>
      <c r="E4" s="13" t="s">
        <v>267</v>
      </c>
    </row>
    <row r="5" customFormat="false" ht="15" hidden="false" customHeight="false" outlineLevel="0" collapsed="false">
      <c r="A5" s="16" t="s">
        <v>268</v>
      </c>
      <c r="B5" s="24" t="n">
        <v>25000</v>
      </c>
      <c r="C5" s="14" t="s">
        <v>269</v>
      </c>
      <c r="D5" s="14" t="s">
        <v>270</v>
      </c>
      <c r="E5" s="17" t="s">
        <v>36</v>
      </c>
    </row>
    <row r="6" customFormat="false" ht="15" hidden="false" customHeight="false" outlineLevel="0" collapsed="false">
      <c r="A6" s="16" t="s">
        <v>268</v>
      </c>
      <c r="B6" s="24" t="n">
        <v>15000</v>
      </c>
      <c r="C6" s="14" t="s">
        <v>271</v>
      </c>
      <c r="D6" s="14" t="s">
        <v>272</v>
      </c>
      <c r="E6" s="17" t="s">
        <v>36</v>
      </c>
    </row>
    <row r="7" customFormat="false" ht="15" hidden="false" customHeight="false" outlineLevel="0" collapsed="false">
      <c r="A7" s="16" t="s">
        <v>273</v>
      </c>
      <c r="B7" s="24" t="n">
        <v>130000</v>
      </c>
      <c r="C7" s="14" t="s">
        <v>274</v>
      </c>
      <c r="D7" s="14" t="s">
        <v>275</v>
      </c>
      <c r="E7" s="17" t="s">
        <v>36</v>
      </c>
    </row>
    <row r="8" customFormat="false" ht="15" hidden="false" customHeight="false" outlineLevel="0" collapsed="false">
      <c r="A8" s="16" t="s">
        <v>276</v>
      </c>
      <c r="B8" s="24" t="n">
        <v>10000</v>
      </c>
      <c r="C8" s="14" t="s">
        <v>277</v>
      </c>
      <c r="D8" s="14" t="s">
        <v>278</v>
      </c>
      <c r="E8" s="17" t="s">
        <v>36</v>
      </c>
    </row>
    <row r="9" customFormat="false" ht="15" hidden="false" customHeight="false" outlineLevel="0" collapsed="false">
      <c r="A9" s="16" t="s">
        <v>279</v>
      </c>
      <c r="B9" s="24" t="n">
        <v>20000</v>
      </c>
      <c r="C9" s="14" t="s">
        <v>280</v>
      </c>
      <c r="D9" s="14" t="s">
        <v>281</v>
      </c>
      <c r="E9" s="17" t="s">
        <v>36</v>
      </c>
    </row>
    <row r="10" customFormat="false" ht="15" hidden="false" customHeight="false" outlineLevel="0" collapsed="false">
      <c r="A10" s="16" t="s">
        <v>282</v>
      </c>
      <c r="B10" s="24" t="n">
        <v>70000</v>
      </c>
      <c r="C10" s="14" t="s">
        <v>283</v>
      </c>
      <c r="D10" s="14" t="s">
        <v>284</v>
      </c>
      <c r="E10" s="17" t="s">
        <v>36</v>
      </c>
    </row>
    <row r="11" customFormat="false" ht="22.35" hidden="false" customHeight="false" outlineLevel="0" collapsed="false">
      <c r="A11" s="16" t="s">
        <v>285</v>
      </c>
      <c r="B11" s="24" t="n">
        <v>2000</v>
      </c>
      <c r="C11" s="14" t="s">
        <v>286</v>
      </c>
      <c r="D11" s="14" t="s">
        <v>287</v>
      </c>
      <c r="E11" s="18" t="s">
        <v>183</v>
      </c>
    </row>
    <row r="12" customFormat="false" ht="15" hidden="false" customHeight="false" outlineLevel="0" collapsed="false">
      <c r="A12" s="25" t="s">
        <v>288</v>
      </c>
      <c r="B12" s="26" t="n">
        <f aca="false">SUMIF(E5:E11,"Yes",B5:B11)</f>
        <v>270000</v>
      </c>
    </row>
    <row r="14" customFormat="false" ht="15" hidden="false" customHeight="false" outlineLevel="0" collapsed="false">
      <c r="A14" s="27" t="s">
        <v>289</v>
      </c>
      <c r="B14" s="27"/>
      <c r="C14" s="27"/>
      <c r="D14" s="27"/>
      <c r="E14" s="27"/>
    </row>
    <row r="15" customFormat="false" ht="15" hidden="false" customHeight="false" outlineLevel="0" collapsed="false">
      <c r="A15" s="27" t="s">
        <v>290</v>
      </c>
      <c r="B15" s="27"/>
      <c r="C15" s="27"/>
      <c r="D15" s="27"/>
      <c r="E15" s="27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291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292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293</v>
      </c>
      <c r="B4" s="13" t="s">
        <v>294</v>
      </c>
      <c r="C4" s="13" t="s">
        <v>295</v>
      </c>
      <c r="D4" s="13" t="s">
        <v>26</v>
      </c>
      <c r="E4" s="13" t="s">
        <v>28</v>
      </c>
      <c r="F4" s="13" t="s">
        <v>296</v>
      </c>
    </row>
    <row r="5" customFormat="false" ht="15" hidden="false" customHeight="false" outlineLevel="0" collapsed="false">
      <c r="A5" s="14" t="s">
        <v>297</v>
      </c>
      <c r="B5" s="14" t="s">
        <v>298</v>
      </c>
      <c r="C5" s="14" t="s">
        <v>299</v>
      </c>
      <c r="D5" s="24" t="n">
        <v>18500</v>
      </c>
      <c r="E5" s="17" t="s">
        <v>36</v>
      </c>
      <c r="F5" s="14" t="s">
        <v>300</v>
      </c>
    </row>
    <row r="6" customFormat="false" ht="15" hidden="false" customHeight="false" outlineLevel="0" collapsed="false">
      <c r="A6" s="14" t="s">
        <v>301</v>
      </c>
      <c r="B6" s="14" t="s">
        <v>302</v>
      </c>
      <c r="C6" s="14" t="s">
        <v>303</v>
      </c>
      <c r="D6" s="24" t="n">
        <v>107000</v>
      </c>
      <c r="E6" s="17" t="s">
        <v>36</v>
      </c>
      <c r="F6" s="14" t="s">
        <v>304</v>
      </c>
    </row>
    <row r="7" customFormat="false" ht="15" hidden="false" customHeight="false" outlineLevel="0" collapsed="false">
      <c r="A7" s="14" t="s">
        <v>301</v>
      </c>
      <c r="B7" s="14" t="s">
        <v>305</v>
      </c>
      <c r="C7" s="14" t="s">
        <v>299</v>
      </c>
      <c r="D7" s="24" t="n">
        <v>19731</v>
      </c>
      <c r="E7" s="17" t="s">
        <v>36</v>
      </c>
      <c r="F7" s="14" t="s">
        <v>306</v>
      </c>
    </row>
    <row r="8" customFormat="false" ht="15" hidden="false" customHeight="false" outlineLevel="0" collapsed="false">
      <c r="A8" s="14" t="s">
        <v>307</v>
      </c>
      <c r="B8" s="14" t="s">
        <v>308</v>
      </c>
      <c r="C8" s="14" t="s">
        <v>309</v>
      </c>
      <c r="D8" s="24" t="n">
        <v>7410</v>
      </c>
      <c r="E8" s="17" t="s">
        <v>36</v>
      </c>
      <c r="F8" s="14" t="s">
        <v>310</v>
      </c>
    </row>
    <row r="9" customFormat="false" ht="15" hidden="false" customHeight="false" outlineLevel="0" collapsed="false">
      <c r="A9" s="14" t="s">
        <v>311</v>
      </c>
      <c r="B9" s="14" t="s">
        <v>312</v>
      </c>
      <c r="C9" s="14" t="s">
        <v>313</v>
      </c>
      <c r="D9" s="24" t="n">
        <v>4350</v>
      </c>
      <c r="E9" s="17" t="s">
        <v>36</v>
      </c>
      <c r="F9" s="14" t="s">
        <v>314</v>
      </c>
    </row>
    <row r="10" customFormat="false" ht="15" hidden="false" customHeight="false" outlineLevel="0" collapsed="false">
      <c r="A10" s="14" t="s">
        <v>311</v>
      </c>
      <c r="B10" s="14" t="s">
        <v>315</v>
      </c>
      <c r="C10" s="14" t="s">
        <v>150</v>
      </c>
      <c r="D10" s="24" t="n">
        <v>2000</v>
      </c>
      <c r="E10" s="17" t="s">
        <v>36</v>
      </c>
      <c r="F10" s="14" t="s">
        <v>316</v>
      </c>
    </row>
    <row r="11" customFormat="false" ht="15" hidden="false" customHeight="false" outlineLevel="0" collapsed="false">
      <c r="A11" s="14" t="s">
        <v>311</v>
      </c>
      <c r="B11" s="14" t="s">
        <v>317</v>
      </c>
      <c r="C11" s="14" t="s">
        <v>150</v>
      </c>
      <c r="D11" s="24" t="n">
        <v>1328</v>
      </c>
      <c r="E11" s="17" t="s">
        <v>36</v>
      </c>
      <c r="F11" s="14" t="s">
        <v>318</v>
      </c>
    </row>
    <row r="12" customFormat="false" ht="15" hidden="false" customHeight="false" outlineLevel="0" collapsed="false">
      <c r="A12" s="14" t="s">
        <v>319</v>
      </c>
      <c r="B12" s="14" t="s">
        <v>320</v>
      </c>
      <c r="C12" s="14" t="s">
        <v>321</v>
      </c>
      <c r="D12" s="24" t="n">
        <v>2490</v>
      </c>
      <c r="E12" s="17" t="s">
        <v>36</v>
      </c>
      <c r="F12" s="14" t="s">
        <v>306</v>
      </c>
    </row>
    <row r="13" customFormat="false" ht="15" hidden="false" customHeight="false" outlineLevel="0" collapsed="false">
      <c r="A13" s="14" t="s">
        <v>297</v>
      </c>
      <c r="B13" s="14" t="s">
        <v>322</v>
      </c>
      <c r="C13" s="14" t="s">
        <v>323</v>
      </c>
      <c r="D13" s="24" t="n">
        <v>800</v>
      </c>
      <c r="E13" s="17" t="s">
        <v>36</v>
      </c>
      <c r="F13" s="14" t="s">
        <v>324</v>
      </c>
    </row>
    <row r="14" customFormat="false" ht="15" hidden="false" customHeight="false" outlineLevel="0" collapsed="false">
      <c r="A14" s="14" t="s">
        <v>325</v>
      </c>
      <c r="B14" s="14" t="s">
        <v>326</v>
      </c>
      <c r="C14" s="14" t="s">
        <v>323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325</v>
      </c>
      <c r="B15" s="14" t="s">
        <v>327</v>
      </c>
      <c r="C15" s="14" t="s">
        <v>328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329</v>
      </c>
      <c r="B16" s="14" t="s">
        <v>330</v>
      </c>
      <c r="C16" s="14" t="s">
        <v>331</v>
      </c>
      <c r="D16" s="24" t="n">
        <v>3000</v>
      </c>
      <c r="E16" s="17" t="s">
        <v>36</v>
      </c>
      <c r="F16" s="14" t="s">
        <v>332</v>
      </c>
    </row>
    <row r="17" customFormat="false" ht="15" hidden="false" customHeight="false" outlineLevel="0" collapsed="false">
      <c r="A17" s="14" t="s">
        <v>329</v>
      </c>
      <c r="B17" s="14" t="s">
        <v>333</v>
      </c>
      <c r="C17" s="14" t="s">
        <v>48</v>
      </c>
      <c r="D17" s="24" t="n">
        <v>2700</v>
      </c>
      <c r="E17" s="18" t="s">
        <v>183</v>
      </c>
      <c r="F17" s="14" t="s">
        <v>334</v>
      </c>
    </row>
    <row r="18" customFormat="false" ht="15" hidden="false" customHeight="false" outlineLevel="0" collapsed="false">
      <c r="A18" s="14" t="s">
        <v>329</v>
      </c>
      <c r="B18" s="14" t="s">
        <v>335</v>
      </c>
      <c r="C18" s="14" t="s">
        <v>48</v>
      </c>
      <c r="D18" s="24" t="n">
        <v>1200</v>
      </c>
      <c r="E18" s="18" t="s">
        <v>183</v>
      </c>
      <c r="F18" s="14" t="s">
        <v>336</v>
      </c>
    </row>
    <row r="19" customFormat="false" ht="15" hidden="false" customHeight="false" outlineLevel="0" collapsed="false">
      <c r="C19" s="25" t="s">
        <v>337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338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339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340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341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293</v>
      </c>
      <c r="B4" s="13" t="s">
        <v>294</v>
      </c>
      <c r="C4" s="13" t="s">
        <v>27</v>
      </c>
      <c r="D4" s="13" t="s">
        <v>26</v>
      </c>
      <c r="E4" s="13" t="s">
        <v>296</v>
      </c>
    </row>
    <row r="5" customFormat="false" ht="15" hidden="false" customHeight="false" outlineLevel="0" collapsed="false">
      <c r="A5" s="14" t="s">
        <v>170</v>
      </c>
      <c r="B5" s="14" t="s">
        <v>342</v>
      </c>
      <c r="C5" s="14" t="s">
        <v>182</v>
      </c>
      <c r="D5" s="15" t="n">
        <v>614</v>
      </c>
      <c r="E5" s="14" t="s">
        <v>343</v>
      </c>
    </row>
    <row r="6" customFormat="false" ht="15" hidden="false" customHeight="false" outlineLevel="0" collapsed="false">
      <c r="A6" s="14" t="s">
        <v>205</v>
      </c>
      <c r="B6" s="14" t="s">
        <v>344</v>
      </c>
      <c r="C6" s="14" t="s">
        <v>208</v>
      </c>
      <c r="D6" s="15" t="n">
        <v>972.55</v>
      </c>
      <c r="E6" s="14" t="s">
        <v>345</v>
      </c>
    </row>
    <row r="7" customFormat="false" ht="15" hidden="false" customHeight="false" outlineLevel="0" collapsed="false">
      <c r="A7" s="14" t="s">
        <v>212</v>
      </c>
      <c r="B7" s="14" t="s">
        <v>346</v>
      </c>
      <c r="C7" s="14" t="s">
        <v>182</v>
      </c>
      <c r="D7" s="15" t="n">
        <v>286</v>
      </c>
      <c r="E7" s="14" t="s">
        <v>347</v>
      </c>
    </row>
    <row r="8" customFormat="false" ht="15" hidden="false" customHeight="false" outlineLevel="0" collapsed="false">
      <c r="A8" s="14" t="s">
        <v>216</v>
      </c>
      <c r="B8" s="14" t="s">
        <v>348</v>
      </c>
      <c r="C8" s="14" t="s">
        <v>208</v>
      </c>
      <c r="D8" s="15" t="n">
        <v>155</v>
      </c>
      <c r="E8" s="14" t="s">
        <v>349</v>
      </c>
    </row>
    <row r="9" customFormat="false" ht="15" hidden="false" customHeight="false" outlineLevel="0" collapsed="false">
      <c r="C9" s="19" t="s">
        <v>350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351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293</v>
      </c>
      <c r="B12" s="13" t="s">
        <v>294</v>
      </c>
      <c r="C12" s="13" t="s">
        <v>27</v>
      </c>
      <c r="D12" s="13" t="s">
        <v>26</v>
      </c>
      <c r="E12" s="13" t="s">
        <v>296</v>
      </c>
    </row>
    <row r="13" customFormat="false" ht="22.35" hidden="false" customHeight="false" outlineLevel="0" collapsed="false">
      <c r="A13" s="14" t="s">
        <v>216</v>
      </c>
      <c r="B13" s="14" t="s">
        <v>352</v>
      </c>
      <c r="C13" s="14" t="s">
        <v>353</v>
      </c>
      <c r="D13" s="15" t="n">
        <v>972.55</v>
      </c>
      <c r="E13" s="14" t="s">
        <v>354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355</v>
      </c>
      <c r="B1" s="1"/>
      <c r="C1" s="1"/>
      <c r="D1" s="1"/>
    </row>
    <row r="2" customFormat="false" ht="15" hidden="false" customHeight="false" outlineLevel="0" collapsed="false">
      <c r="A2" s="2" t="s">
        <v>356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357</v>
      </c>
      <c r="C4" s="13" t="s">
        <v>358</v>
      </c>
      <c r="D4" s="13" t="s">
        <v>359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Ledger'!E5:E140,'Renovation Ledger'!B5:B140,A5,'Renovation Ledger'!H5:H140,"Paid")</f>
        <v>26460</v>
      </c>
      <c r="C5" s="24" t="n">
        <v>25000</v>
      </c>
      <c r="D5" s="14" t="s">
        <v>360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Ledger'!E5:E140,'Renovation Ledger'!B5:B140,A6,'Renovation Ledger'!H5:H140,"Paid")</f>
        <v>29842.87</v>
      </c>
      <c r="C6" s="24" t="n">
        <v>25000</v>
      </c>
      <c r="D6" s="14" t="s">
        <v>361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Ledger'!E5:E140,'Renovation Ledger'!B5:B140,A7,'Renovation Ledger'!H5:H140,"Paid")</f>
        <v>7119</v>
      </c>
      <c r="C7" s="24" t="n">
        <v>9000</v>
      </c>
      <c r="D7" s="14" t="s">
        <v>362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Ledger'!E5:E140,'Renovation Ledger'!B5:B140,A8,'Renovation Ledger'!H5:H140,"Paid")</f>
        <v>2325</v>
      </c>
      <c r="C8" s="24" t="n">
        <v>11250</v>
      </c>
      <c r="D8" s="14" t="s">
        <v>363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Ledger'!E5:E140,'Renovation Ledger'!B5:B140,A9,'Renovation Ledger'!H5:H140,"Paid")</f>
        <v>4300</v>
      </c>
      <c r="C9" s="24" t="n">
        <v>6000</v>
      </c>
      <c r="D9" s="14" t="s">
        <v>364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Ledger'!E5:E140,'Renovation Ledger'!B5:B140,A10,'Renovation Ledger'!H5:H140,"Paid")</f>
        <v>4225</v>
      </c>
      <c r="C10" s="24" t="n">
        <v>4500</v>
      </c>
      <c r="D10" s="14" t="s">
        <v>365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Ledger'!E5:E140,'Renovation Ledger'!B5:B140,A11,'Renovation Ledger'!H5:H140,"Paid")</f>
        <v>1550</v>
      </c>
      <c r="C11" s="24" t="n">
        <v>18700</v>
      </c>
      <c r="D11" s="14" t="s">
        <v>366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Ledger'!E5:E140,'Renovation Ledger'!B5:B140,A12,'Renovation Ledger'!H5:H140,"Paid")</f>
        <v>2097</v>
      </c>
      <c r="C12" s="24" t="n">
        <v>2000</v>
      </c>
      <c r="D12" s="14" t="s">
        <v>367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Ledger'!E5:E140,'Renovation Ledger'!B5:B140,A13,'Renovation Ledger'!H5:H140,"Paid")</f>
        <v>286</v>
      </c>
      <c r="C13" s="24" t="n">
        <v>25500</v>
      </c>
      <c r="D13" s="14" t="s">
        <v>368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Ledger'!E5:E140,'Renovation Ledger'!B5:B140,A14,'Renovation Ledger'!H5:H140,"Paid")</f>
        <v>905</v>
      </c>
      <c r="C14" s="24" t="n">
        <v>1000</v>
      </c>
      <c r="D14" s="14" t="s">
        <v>369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Ledger'!E5:E140,'Renovation Ledger'!B5:B140,A15,'Renovation Ledger'!H5:H140,"Paid")</f>
        <v>3811</v>
      </c>
      <c r="C15" s="24" t="n">
        <v>11350</v>
      </c>
      <c r="D15" s="14" t="s">
        <v>370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Ledger'!E5:E140,'Renovation Ledger'!B5:B140,A16,'Renovation Ledger'!H5:H140,"Paid")</f>
        <v>300</v>
      </c>
      <c r="C16" s="24" t="n">
        <v>5000</v>
      </c>
      <c r="D16" s="14" t="s">
        <v>371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Ledger'!E5:E140,'Renovation Ledger'!B5:B140,A17,'Renovation Ledger'!H5:H140,"Paid")</f>
        <v>270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Ledger'!E5:E140,'Renovation Ledger'!B5:B140,A18,'Renovation Ledger'!H5:H140,"Paid")</f>
        <v>750.6</v>
      </c>
      <c r="C18" s="24" t="n">
        <v>500</v>
      </c>
      <c r="D18" s="14" t="s">
        <v>372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Ledger'!E5:E140,'Renovation Ledger'!B5:B140,A19,'Renovation Ledger'!H5:H140,"Paid")</f>
        <v>100</v>
      </c>
      <c r="C19" s="24" t="n">
        <v>300</v>
      </c>
      <c r="D19" s="14" t="s">
        <v>373</v>
      </c>
    </row>
    <row r="20" customFormat="false" ht="15" hidden="false" customHeight="false" outlineLevel="0" collapsed="false">
      <c r="A20" s="29" t="s">
        <v>374</v>
      </c>
      <c r="B20" s="20" t="n">
        <f aca="false">SUM(B5:B19)</f>
        <v>84341.47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375</v>
      </c>
      <c r="B1" s="1"/>
      <c r="C1" s="1"/>
      <c r="D1" s="1"/>
    </row>
    <row r="2" customFormat="false" ht="15" hidden="false" customHeight="false" outlineLevel="0" collapsed="false">
      <c r="A2" s="2" t="s">
        <v>376</v>
      </c>
      <c r="B2" s="2"/>
      <c r="C2" s="2"/>
      <c r="D2" s="2"/>
    </row>
    <row r="5" customFormat="false" ht="15" hidden="false" customHeight="false" outlineLevel="0" collapsed="false">
      <c r="B5" s="30" t="s">
        <v>377</v>
      </c>
      <c r="C5" s="31" t="n">
        <v>21066.81</v>
      </c>
      <c r="D5" s="32" t="s">
        <v>378</v>
      </c>
    </row>
    <row r="6" customFormat="false" ht="15" hidden="false" customHeight="false" outlineLevel="0" collapsed="false">
      <c r="B6" s="33" t="s">
        <v>379</v>
      </c>
      <c r="C6" s="34" t="n">
        <v>230000</v>
      </c>
      <c r="D6" s="32" t="s">
        <v>380</v>
      </c>
    </row>
    <row r="7" customFormat="false" ht="15" hidden="false" customHeight="false" outlineLevel="0" collapsed="false">
      <c r="B7" s="35" t="s">
        <v>381</v>
      </c>
      <c r="C7" s="36" t="n">
        <v>-139459.28</v>
      </c>
      <c r="D7" s="32" t="s">
        <v>382</v>
      </c>
    </row>
    <row r="8" customFormat="false" ht="15" hidden="false" customHeight="false" outlineLevel="0" collapsed="false">
      <c r="B8" s="35" t="s">
        <v>383</v>
      </c>
      <c r="C8" s="36" t="n">
        <v>-6350</v>
      </c>
      <c r="D8" s="32" t="s">
        <v>384</v>
      </c>
    </row>
    <row r="9" customFormat="false" ht="15" hidden="false" customHeight="false" outlineLevel="0" collapsed="false">
      <c r="B9" s="35" t="s">
        <v>385</v>
      </c>
      <c r="C9" s="36" t="n">
        <v>-64730</v>
      </c>
      <c r="D9" s="32" t="s">
        <v>386</v>
      </c>
    </row>
    <row r="10" customFormat="false" ht="15" hidden="false" customHeight="false" outlineLevel="0" collapsed="false">
      <c r="B10" s="35" t="s">
        <v>387</v>
      </c>
      <c r="C10" s="36" t="n">
        <v>-4494.92</v>
      </c>
      <c r="D10" s="32" t="s">
        <v>388</v>
      </c>
    </row>
    <row r="11" customFormat="false" ht="15" hidden="false" customHeight="false" outlineLevel="0" collapsed="false">
      <c r="B11" s="35" t="s">
        <v>389</v>
      </c>
      <c r="C11" s="36" t="n">
        <v>-711</v>
      </c>
      <c r="D11" s="32" t="s">
        <v>390</v>
      </c>
    </row>
    <row r="12" customFormat="false" ht="15" hidden="false" customHeight="false" outlineLevel="0" collapsed="false">
      <c r="B12" s="35" t="s">
        <v>391</v>
      </c>
      <c r="C12" s="36" t="n">
        <v>-104.17</v>
      </c>
      <c r="D12" s="32" t="s">
        <v>392</v>
      </c>
    </row>
    <row r="13" customFormat="false" ht="15" hidden="false" customHeight="false" outlineLevel="0" collapsed="false">
      <c r="B13" s="35" t="s">
        <v>393</v>
      </c>
      <c r="C13" s="36" t="n">
        <v>-14.5</v>
      </c>
      <c r="D13" s="32" t="s">
        <v>394</v>
      </c>
    </row>
    <row r="14" customFormat="false" ht="15" hidden="false" customHeight="false" outlineLevel="0" collapsed="false">
      <c r="B14" s="29" t="s">
        <v>395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396</v>
      </c>
      <c r="C15" s="38" t="n">
        <v>35202.94</v>
      </c>
    </row>
    <row r="16" customFormat="false" ht="15" hidden="false" customHeight="false" outlineLevel="0" collapsed="false">
      <c r="B16" s="39" t="s">
        <v>397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398</v>
      </c>
    </row>
    <row r="19" customFormat="false" ht="15" hidden="false" customHeight="false" outlineLevel="0" collapsed="false">
      <c r="B19" s="41" t="s">
        <v>399</v>
      </c>
      <c r="C19" s="42" t="n">
        <f aca="false">'Renovation Ledger'!E143</f>
        <v>82313.92</v>
      </c>
    </row>
    <row r="20" customFormat="false" ht="15" hidden="false" customHeight="false" outlineLevel="0" collapsed="false">
      <c r="B20" s="41" t="s">
        <v>400</v>
      </c>
      <c r="C20" s="42" t="n">
        <v>69935.92</v>
      </c>
    </row>
    <row r="21" customFormat="false" ht="15" hidden="false" customHeight="false" outlineLevel="0" collapsed="false">
      <c r="B21" s="43" t="s">
        <v>401</v>
      </c>
      <c r="C21" s="44" t="n">
        <f aca="false">'Renovation Ledger'!E143-69935.92</f>
        <v>12378</v>
      </c>
    </row>
    <row r="23" customFormat="false" ht="15" hidden="false" customHeight="true" outlineLevel="0" collapsed="false">
      <c r="B23" s="45" t="s">
        <v>402</v>
      </c>
      <c r="C23" s="45"/>
      <c r="D23" s="45"/>
    </row>
    <row r="24" customFormat="false" ht="22.35" hidden="false" customHeight="true" outlineLevel="0" collapsed="false">
      <c r="B24" s="45" t="s">
        <v>403</v>
      </c>
      <c r="C24" s="45"/>
      <c r="D24" s="45"/>
    </row>
  </sheetData>
  <mergeCells count="4">
    <mergeCell ref="A1:D1"/>
    <mergeCell ref="A2:D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404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405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406</v>
      </c>
      <c r="B4" s="13" t="s">
        <v>407</v>
      </c>
      <c r="C4" s="13" t="s">
        <v>408</v>
      </c>
      <c r="D4" s="13" t="s">
        <v>29</v>
      </c>
      <c r="E4" s="13" t="s">
        <v>409</v>
      </c>
    </row>
    <row r="5" customFormat="false" ht="22.35" hidden="false" customHeight="false" outlineLevel="0" collapsed="false">
      <c r="A5" s="16" t="s">
        <v>410</v>
      </c>
      <c r="B5" s="14" t="s">
        <v>411</v>
      </c>
      <c r="C5" s="14" t="s">
        <v>412</v>
      </c>
      <c r="D5" s="17" t="s">
        <v>413</v>
      </c>
      <c r="E5" s="14" t="s">
        <v>414</v>
      </c>
    </row>
    <row r="6" customFormat="false" ht="22.35" hidden="false" customHeight="false" outlineLevel="0" collapsed="false">
      <c r="A6" s="16" t="s">
        <v>415</v>
      </c>
      <c r="B6" s="14" t="s">
        <v>416</v>
      </c>
      <c r="C6" s="14" t="s">
        <v>417</v>
      </c>
      <c r="D6" s="17" t="s">
        <v>413</v>
      </c>
      <c r="E6" s="14" t="s">
        <v>418</v>
      </c>
    </row>
    <row r="7" customFormat="false" ht="22.35" hidden="false" customHeight="false" outlineLevel="0" collapsed="false">
      <c r="A7" s="16" t="s">
        <v>419</v>
      </c>
      <c r="B7" s="14" t="s">
        <v>420</v>
      </c>
      <c r="C7" s="14" t="s">
        <v>421</v>
      </c>
      <c r="D7" s="17" t="s">
        <v>413</v>
      </c>
      <c r="E7" s="14" t="s">
        <v>422</v>
      </c>
    </row>
    <row r="8" customFormat="false" ht="32.8" hidden="false" customHeight="false" outlineLevel="0" collapsed="false">
      <c r="A8" s="16" t="s">
        <v>423</v>
      </c>
      <c r="B8" s="14" t="s">
        <v>424</v>
      </c>
      <c r="C8" s="14" t="s">
        <v>425</v>
      </c>
      <c r="D8" s="17" t="s">
        <v>413</v>
      </c>
      <c r="E8" s="14" t="s">
        <v>414</v>
      </c>
    </row>
    <row r="9" customFormat="false" ht="32.8" hidden="false" customHeight="false" outlineLevel="0" collapsed="false">
      <c r="A9" s="16" t="s">
        <v>426</v>
      </c>
      <c r="B9" s="14" t="s">
        <v>427</v>
      </c>
      <c r="C9" s="14" t="s">
        <v>428</v>
      </c>
      <c r="D9" s="17" t="s">
        <v>413</v>
      </c>
      <c r="E9" s="14" t="s">
        <v>414</v>
      </c>
    </row>
    <row r="10" customFormat="false" ht="32.8" hidden="false" customHeight="false" outlineLevel="0" collapsed="false">
      <c r="A10" s="16" t="s">
        <v>429</v>
      </c>
      <c r="B10" s="14" t="s">
        <v>430</v>
      </c>
      <c r="C10" s="14" t="s">
        <v>431</v>
      </c>
      <c r="D10" s="17" t="s">
        <v>413</v>
      </c>
      <c r="E10" s="14" t="s">
        <v>414</v>
      </c>
    </row>
    <row r="11" customFormat="false" ht="22.35" hidden="false" customHeight="false" outlineLevel="0" collapsed="false">
      <c r="A11" s="16" t="s">
        <v>432</v>
      </c>
      <c r="B11" s="14" t="s">
        <v>433</v>
      </c>
      <c r="C11" s="14" t="s">
        <v>434</v>
      </c>
      <c r="D11" s="17" t="s">
        <v>413</v>
      </c>
      <c r="E11" s="14" t="s">
        <v>414</v>
      </c>
    </row>
    <row r="12" customFormat="false" ht="32.8" hidden="false" customHeight="false" outlineLevel="0" collapsed="false">
      <c r="A12" s="16" t="s">
        <v>435</v>
      </c>
      <c r="B12" s="14" t="s">
        <v>436</v>
      </c>
      <c r="C12" s="14" t="s">
        <v>437</v>
      </c>
      <c r="D12" s="17" t="s">
        <v>413</v>
      </c>
      <c r="E12" s="14" t="s">
        <v>414</v>
      </c>
    </row>
    <row r="13" customFormat="false" ht="22.35" hidden="false" customHeight="false" outlineLevel="0" collapsed="false">
      <c r="A13" s="16" t="s">
        <v>438</v>
      </c>
      <c r="B13" s="14" t="s">
        <v>439</v>
      </c>
      <c r="C13" s="14" t="s">
        <v>440</v>
      </c>
      <c r="D13" s="17" t="s">
        <v>413</v>
      </c>
      <c r="E13" s="14" t="s">
        <v>414</v>
      </c>
    </row>
    <row r="14" customFormat="false" ht="22.35" hidden="false" customHeight="false" outlineLevel="0" collapsed="false">
      <c r="A14" s="16" t="s">
        <v>441</v>
      </c>
      <c r="B14" s="14" t="s">
        <v>442</v>
      </c>
      <c r="C14" s="14" t="s">
        <v>443</v>
      </c>
      <c r="D14" s="18" t="s">
        <v>444</v>
      </c>
      <c r="E14" s="14" t="s">
        <v>445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2026-07-11T08:09:36Z</dcterms:created>
  <dc:creator>openpyxl</dc:creator>
  <dc:description/>
  <dc:language>en-US</dc:language>
  <cp:lastModifiedBy/>
  <dcterms:modified xsi:type="dcterms:W3CDTF">2026-07-11T08:09:37Z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